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xr:revisionPtr revIDLastSave="0" documentId="8_{F2F8AAD7-AC30-43BF-93D4-3D94CA4A5E9C}" xr6:coauthVersionLast="47" xr6:coauthVersionMax="47" xr10:uidLastSave="{00000000-0000-0000-0000-000000000000}"/>
  <bookViews>
    <workbookView xWindow="-108" yWindow="-108" windowWidth="23256" windowHeight="12456" firstSheet="1" activeTab="1" xr2:uid="{00000000-000D-0000-FFFF-FFFF00000000}"/>
  </bookViews>
  <sheets>
    <sheet name="Overview" sheetId="1" r:id="rId1"/>
    <sheet name="movies" sheetId="2" r:id="rId2"/>
    <sheet name="Marvel financials" sheetId="3" r:id="rId3"/>
    <sheet name="Rating Statistics" sheetId="4" r:id="rId4"/>
    <sheet name="financials" sheetId="5" r:id="rId5"/>
    <sheet name="actors" sheetId="6" r:id="rId6"/>
    <sheet name="movie_actor" sheetId="7" r:id="rId7"/>
    <sheet name="languages" sheetId="8" r:id="rId8"/>
    <sheet name="Formula Guide" sheetId="9" r:id="rId9"/>
  </sheets>
  <definedNames>
    <definedName name="_xlnm._FilterDatabase" localSheetId="8" hidden="1">'Formula Guide'!$A$5:$E$25</definedName>
    <definedName name="_xlnm.Print_Area" localSheetId="0">Overview!$A$1:$H$19</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3" l="1"/>
  <c r="D6" i="3"/>
  <c r="B3" i="3"/>
  <c r="B4" i="3"/>
  <c r="B2" i="3"/>
  <c r="C5" i="3"/>
  <c r="O42" i="2"/>
  <c r="P42" i="2"/>
  <c r="Q42" i="2"/>
  <c r="D3" i="3"/>
  <c r="E3" i="3"/>
  <c r="B6" i="4"/>
  <c r="B5" i="4"/>
  <c r="B4" i="4"/>
  <c r="B3" i="4"/>
  <c r="B2" i="4"/>
  <c r="C6" i="1"/>
  <c r="A6" i="1"/>
  <c r="N45" i="2"/>
  <c r="N44" i="2"/>
  <c r="K40" i="2" a="1"/>
  <c r="K40" i="2"/>
  <c r="J40" i="2" a="1"/>
  <c r="J40" i="2"/>
  <c r="I40" i="2" a="1"/>
  <c r="I40" i="2"/>
  <c r="H40" i="2" a="1"/>
  <c r="H40" i="2"/>
  <c r="K39" i="2" a="1"/>
  <c r="K39" i="2"/>
  <c r="J39" i="2" a="1"/>
  <c r="J39" i="2"/>
  <c r="I39" i="2" a="1"/>
  <c r="I39" i="2"/>
  <c r="H39" i="2" a="1"/>
  <c r="H39" i="2"/>
  <c r="K38" i="2" a="1"/>
  <c r="K38" i="2"/>
  <c r="J38" i="2" a="1"/>
  <c r="J38" i="2"/>
  <c r="I38" i="2" a="1"/>
  <c r="I38" i="2"/>
  <c r="H38" i="2" a="1"/>
  <c r="H38" i="2"/>
  <c r="K37" i="2" a="1"/>
  <c r="K37" i="2"/>
  <c r="J37" i="2" a="1"/>
  <c r="J37" i="2"/>
  <c r="I37" i="2" a="1"/>
  <c r="I37" i="2"/>
  <c r="H37" i="2" a="1"/>
  <c r="H37" i="2"/>
  <c r="K36" i="2" a="1"/>
  <c r="K36" i="2"/>
  <c r="J36" i="2" a="1"/>
  <c r="J36" i="2"/>
  <c r="I36" i="2" a="1"/>
  <c r="I36" i="2"/>
  <c r="H36" i="2" a="1"/>
  <c r="H36" i="2"/>
  <c r="K35" i="2" a="1"/>
  <c r="K35" i="2"/>
  <c r="J35" i="2" a="1"/>
  <c r="J35" i="2"/>
  <c r="I35" i="2" a="1"/>
  <c r="I35" i="2"/>
  <c r="H35" i="2" a="1"/>
  <c r="H35" i="2"/>
  <c r="K34" i="2" a="1"/>
  <c r="K34" i="2"/>
  <c r="J34" i="2" a="1"/>
  <c r="J34" i="2"/>
  <c r="I34" i="2" a="1"/>
  <c r="I34" i="2"/>
  <c r="H34" i="2" a="1"/>
  <c r="H34" i="2"/>
  <c r="K33" i="2" a="1"/>
  <c r="K33" i="2"/>
  <c r="J33" i="2" a="1"/>
  <c r="J33" i="2"/>
  <c r="I33" i="2" a="1"/>
  <c r="I33" i="2"/>
  <c r="H33" i="2" a="1"/>
  <c r="H33" i="2"/>
  <c r="K32" i="2" a="1"/>
  <c r="K32" i="2"/>
  <c r="J32" i="2" a="1"/>
  <c r="J32" i="2"/>
  <c r="I32" i="2" a="1"/>
  <c r="I32" i="2"/>
  <c r="H32" i="2" a="1"/>
  <c r="H32" i="2"/>
  <c r="K31" i="2" a="1"/>
  <c r="K31" i="2"/>
  <c r="J31" i="2" a="1"/>
  <c r="J31" i="2"/>
  <c r="I31" i="2" a="1"/>
  <c r="I31" i="2"/>
  <c r="H31" i="2" a="1"/>
  <c r="H31" i="2"/>
  <c r="K30" i="2" a="1"/>
  <c r="K30" i="2"/>
  <c r="J30" i="2" a="1"/>
  <c r="J30" i="2"/>
  <c r="I30" i="2" a="1"/>
  <c r="I30" i="2"/>
  <c r="H30" i="2" a="1"/>
  <c r="H30" i="2"/>
  <c r="K29" i="2" a="1"/>
  <c r="K29" i="2"/>
  <c r="J29" i="2" a="1"/>
  <c r="J29" i="2"/>
  <c r="I29" i="2" a="1"/>
  <c r="I29" i="2"/>
  <c r="H29" i="2" a="1"/>
  <c r="H29" i="2"/>
  <c r="K28" i="2" a="1"/>
  <c r="K28" i="2"/>
  <c r="J28" i="2" a="1"/>
  <c r="J28" i="2"/>
  <c r="I28" i="2" a="1"/>
  <c r="I28" i="2"/>
  <c r="H28" i="2" a="1"/>
  <c r="H28" i="2"/>
  <c r="K27" i="2" a="1"/>
  <c r="K27" i="2"/>
  <c r="J27" i="2" a="1"/>
  <c r="J27" i="2"/>
  <c r="I27" i="2" a="1"/>
  <c r="I27" i="2"/>
  <c r="H27" i="2" a="1"/>
  <c r="H27" i="2"/>
  <c r="K26" i="2" a="1"/>
  <c r="K26" i="2"/>
  <c r="J26" i="2" a="1"/>
  <c r="J26" i="2"/>
  <c r="I26" i="2" a="1"/>
  <c r="I26" i="2"/>
  <c r="H26" i="2" a="1"/>
  <c r="H26" i="2"/>
  <c r="K25" i="2" a="1"/>
  <c r="K25" i="2"/>
  <c r="J25" i="2" a="1"/>
  <c r="J25" i="2"/>
  <c r="I25" i="2" a="1"/>
  <c r="I25" i="2"/>
  <c r="H25" i="2" a="1"/>
  <c r="H25" i="2"/>
  <c r="K24" i="2" a="1"/>
  <c r="K24" i="2"/>
  <c r="J24" i="2" a="1"/>
  <c r="J24" i="2"/>
  <c r="I24" i="2" a="1"/>
  <c r="I24" i="2"/>
  <c r="H24" i="2" a="1"/>
  <c r="H24" i="2"/>
  <c r="K23" i="2" a="1"/>
  <c r="K23" i="2"/>
  <c r="J23" i="2" a="1"/>
  <c r="J23" i="2"/>
  <c r="I23" i="2" a="1"/>
  <c r="I23" i="2"/>
  <c r="H23" i="2" a="1"/>
  <c r="H23" i="2"/>
  <c r="K22" i="2" a="1"/>
  <c r="K22" i="2"/>
  <c r="J22" i="2" a="1"/>
  <c r="J22" i="2"/>
  <c r="I22" i="2" a="1"/>
  <c r="I22" i="2"/>
  <c r="H22" i="2" a="1"/>
  <c r="H22" i="2"/>
  <c r="K21" i="2" a="1"/>
  <c r="K21" i="2"/>
  <c r="J21" i="2" a="1"/>
  <c r="J21" i="2"/>
  <c r="I21" i="2" a="1"/>
  <c r="I21" i="2"/>
  <c r="H21" i="2" a="1"/>
  <c r="H21" i="2"/>
  <c r="K20" i="2" a="1"/>
  <c r="K20" i="2"/>
  <c r="J20" i="2" a="1"/>
  <c r="J20" i="2"/>
  <c r="I20" i="2" a="1"/>
  <c r="I20" i="2"/>
  <c r="H20" i="2" a="1"/>
  <c r="H20" i="2"/>
  <c r="K19" i="2" a="1"/>
  <c r="K19" i="2"/>
  <c r="J19" i="2" a="1"/>
  <c r="J19" i="2"/>
  <c r="I19" i="2" a="1"/>
  <c r="I19" i="2"/>
  <c r="H19" i="2" a="1"/>
  <c r="H19" i="2"/>
  <c r="K18" i="2" a="1"/>
  <c r="K18" i="2"/>
  <c r="J18" i="2" a="1"/>
  <c r="J18" i="2"/>
  <c r="I18" i="2" a="1"/>
  <c r="I18" i="2"/>
  <c r="H18" i="2" a="1"/>
  <c r="H18" i="2"/>
  <c r="K17" i="2" a="1"/>
  <c r="K17" i="2"/>
  <c r="J17" i="2" a="1"/>
  <c r="J17" i="2"/>
  <c r="I17" i="2" a="1"/>
  <c r="I17" i="2"/>
  <c r="H17" i="2" a="1"/>
  <c r="H17" i="2"/>
  <c r="K16" i="2" a="1"/>
  <c r="K16" i="2"/>
  <c r="J16" i="2" a="1"/>
  <c r="J16" i="2"/>
  <c r="I16" i="2" a="1"/>
  <c r="I16" i="2"/>
  <c r="H16" i="2" a="1"/>
  <c r="H16" i="2"/>
  <c r="K15" i="2" a="1"/>
  <c r="K15" i="2"/>
  <c r="J15" i="2" a="1"/>
  <c r="J15" i="2"/>
  <c r="I15" i="2" a="1"/>
  <c r="I15" i="2"/>
  <c r="H15" i="2" a="1"/>
  <c r="H15" i="2"/>
  <c r="K14" i="2" a="1"/>
  <c r="K14" i="2"/>
  <c r="J14" i="2" a="1"/>
  <c r="J14" i="2"/>
  <c r="I14" i="2" a="1"/>
  <c r="I14" i="2"/>
  <c r="H14" i="2" a="1"/>
  <c r="H14" i="2"/>
  <c r="K13" i="2" a="1"/>
  <c r="K13" i="2"/>
  <c r="J13" i="2" a="1"/>
  <c r="J13" i="2"/>
  <c r="I13" i="2" a="1"/>
  <c r="I13" i="2"/>
  <c r="H13" i="2" a="1"/>
  <c r="H13" i="2"/>
  <c r="K12" i="2" a="1"/>
  <c r="K12" i="2"/>
  <c r="J12" i="2" a="1"/>
  <c r="J12" i="2"/>
  <c r="I12" i="2" a="1"/>
  <c r="I12" i="2"/>
  <c r="H12" i="2" a="1"/>
  <c r="H12" i="2"/>
  <c r="K11" i="2" a="1"/>
  <c r="K11" i="2"/>
  <c r="J11" i="2" a="1"/>
  <c r="J11" i="2"/>
  <c r="I11" i="2" a="1"/>
  <c r="I11" i="2"/>
  <c r="H11" i="2" a="1"/>
  <c r="H11" i="2"/>
  <c r="K10" i="2" a="1"/>
  <c r="K10" i="2"/>
  <c r="J10" i="2" a="1"/>
  <c r="J10" i="2"/>
  <c r="I10" i="2" a="1"/>
  <c r="I10" i="2"/>
  <c r="H10" i="2" a="1"/>
  <c r="H10" i="2"/>
  <c r="K9" i="2" a="1"/>
  <c r="K9" i="2"/>
  <c r="J9" i="2" a="1"/>
  <c r="J9" i="2"/>
  <c r="I9" i="2" a="1"/>
  <c r="I9" i="2"/>
  <c r="H9" i="2" a="1"/>
  <c r="H9" i="2"/>
  <c r="K8" i="2" a="1"/>
  <c r="K8" i="2"/>
  <c r="J8" i="2" a="1"/>
  <c r="J8" i="2"/>
  <c r="I8" i="2" a="1"/>
  <c r="I8" i="2"/>
  <c r="H8" i="2" a="1"/>
  <c r="H8" i="2"/>
  <c r="K7" i="2" a="1"/>
  <c r="K7" i="2"/>
  <c r="J7" i="2" a="1"/>
  <c r="J7" i="2"/>
  <c r="I7" i="2" a="1"/>
  <c r="I7" i="2"/>
  <c r="H7" i="2" a="1"/>
  <c r="H7" i="2"/>
  <c r="K6" i="2" a="1"/>
  <c r="K6" i="2"/>
  <c r="J6" i="2" a="1"/>
  <c r="J6" i="2"/>
  <c r="I6" i="2" a="1"/>
  <c r="I6" i="2"/>
  <c r="H6" i="2" a="1"/>
  <c r="H6" i="2"/>
  <c r="K5" i="2" a="1"/>
  <c r="K5" i="2"/>
  <c r="J5" i="2" a="1"/>
  <c r="J5" i="2"/>
  <c r="I5" i="2" a="1"/>
  <c r="I5" i="2"/>
  <c r="H5" i="2" a="1"/>
  <c r="H5" i="2"/>
  <c r="K4" i="2" a="1"/>
  <c r="K4" i="2"/>
  <c r="J4" i="2" a="1"/>
  <c r="J4" i="2"/>
  <c r="I4" i="2" a="1"/>
  <c r="I4" i="2"/>
  <c r="H4" i="2" a="1"/>
  <c r="H4" i="2"/>
  <c r="K3" i="2" a="1"/>
  <c r="K3" i="2"/>
  <c r="J3" i="2" a="1"/>
  <c r="J3" i="2"/>
  <c r="I3" i="2" a="1"/>
  <c r="I3" i="2"/>
  <c r="H3" i="2" a="1"/>
  <c r="H3" i="2"/>
  <c r="K2" i="2" a="1"/>
  <c r="K2" i="2"/>
  <c r="J2" i="2" a="1"/>
  <c r="J2" i="2"/>
  <c r="I2" i="2" a="1"/>
  <c r="I2" i="2"/>
  <c r="H2" i="2" a="1"/>
  <c r="H2" i="2"/>
  <c r="M40" i="2" l="1"/>
  <c r="L40" i="2"/>
  <c r="M39" i="2"/>
  <c r="L39" i="2"/>
  <c r="M38" i="2"/>
  <c r="L38" i="2"/>
  <c r="M37" i="2"/>
  <c r="L37" i="2"/>
  <c r="M36" i="2"/>
  <c r="L36" i="2"/>
  <c r="M35" i="2"/>
  <c r="L35" i="2"/>
  <c r="M34" i="2"/>
  <c r="L34" i="2"/>
  <c r="M33" i="2"/>
  <c r="L33" i="2"/>
  <c r="M32" i="2"/>
  <c r="L32" i="2"/>
  <c r="M31" i="2"/>
  <c r="L31" i="2"/>
  <c r="M30" i="2"/>
  <c r="L30" i="2"/>
  <c r="M29" i="2"/>
  <c r="L29" i="2"/>
  <c r="M28" i="2"/>
  <c r="L28" i="2"/>
  <c r="M27" i="2"/>
  <c r="L27" i="2"/>
  <c r="M26" i="2"/>
  <c r="L26" i="2"/>
  <c r="M25" i="2"/>
  <c r="L25" i="2"/>
  <c r="M24" i="2"/>
  <c r="L24" i="2"/>
  <c r="M23" i="2"/>
  <c r="L23" i="2"/>
  <c r="M22" i="2"/>
  <c r="L22" i="2"/>
  <c r="M21" i="2"/>
  <c r="L21" i="2"/>
  <c r="M20" i="2"/>
  <c r="L20" i="2"/>
  <c r="M19" i="2"/>
  <c r="L19" i="2"/>
  <c r="M18" i="2"/>
  <c r="L18" i="2"/>
  <c r="M17" i="2"/>
  <c r="L17" i="2"/>
  <c r="M16" i="2"/>
  <c r="L16" i="2"/>
  <c r="M15" i="2"/>
  <c r="L15" i="2"/>
  <c r="M14" i="2"/>
  <c r="L14" i="2"/>
  <c r="M13" i="2"/>
  <c r="L13" i="2"/>
  <c r="M12" i="2"/>
  <c r="L12" i="2"/>
  <c r="M11" i="2"/>
  <c r="L11" i="2"/>
  <c r="M10" i="2"/>
  <c r="L10" i="2"/>
  <c r="M9" i="2"/>
  <c r="L9" i="2"/>
  <c r="M8" i="2"/>
  <c r="L8" i="2"/>
  <c r="M7" i="2"/>
  <c r="L7" i="2"/>
  <c r="M6" i="2"/>
  <c r="L6" i="2"/>
  <c r="M5" i="2"/>
  <c r="L5" i="2"/>
  <c r="M4" i="2"/>
  <c r="L4" i="2"/>
  <c r="M3" i="2"/>
  <c r="L3" i="2"/>
  <c r="M2" i="2"/>
  <c r="L2" i="2"/>
  <c r="Q40" i="2" l="1"/>
  <c r="O40" i="2"/>
  <c r="P40" i="2"/>
  <c r="N40" i="2"/>
  <c r="Q39" i="2"/>
  <c r="O39" i="2"/>
  <c r="P39" i="2"/>
  <c r="N39" i="2"/>
  <c r="Q38" i="2"/>
  <c r="O38" i="2"/>
  <c r="P38" i="2"/>
  <c r="N38" i="2"/>
  <c r="Q37" i="2"/>
  <c r="O37" i="2"/>
  <c r="P37" i="2"/>
  <c r="N37" i="2"/>
  <c r="Q36" i="2"/>
  <c r="O36" i="2"/>
  <c r="P36" i="2"/>
  <c r="N36" i="2"/>
  <c r="Q35" i="2"/>
  <c r="O35" i="2"/>
  <c r="P35" i="2"/>
  <c r="N35" i="2"/>
  <c r="Q34" i="2"/>
  <c r="O34" i="2"/>
  <c r="P34" i="2"/>
  <c r="N34" i="2"/>
  <c r="Q33" i="2"/>
  <c r="O33" i="2"/>
  <c r="P33" i="2"/>
  <c r="N33" i="2"/>
  <c r="Q32" i="2"/>
  <c r="O32" i="2"/>
  <c r="P32" i="2"/>
  <c r="N32" i="2"/>
  <c r="Q31" i="2"/>
  <c r="O31" i="2"/>
  <c r="P31" i="2"/>
  <c r="N31" i="2"/>
  <c r="Q30" i="2"/>
  <c r="O30" i="2"/>
  <c r="P30" i="2"/>
  <c r="N30" i="2"/>
  <c r="Q29" i="2"/>
  <c r="O29" i="2"/>
  <c r="P29" i="2"/>
  <c r="N29" i="2"/>
  <c r="Q28" i="2"/>
  <c r="O28" i="2"/>
  <c r="P28" i="2"/>
  <c r="N28" i="2"/>
  <c r="Q27" i="2"/>
  <c r="O27" i="2"/>
  <c r="P27" i="2"/>
  <c r="N27" i="2"/>
  <c r="Q26" i="2"/>
  <c r="O26" i="2"/>
  <c r="P26" i="2"/>
  <c r="N26" i="2"/>
  <c r="Q25" i="2"/>
  <c r="O25" i="2"/>
  <c r="P25" i="2"/>
  <c r="N25" i="2"/>
  <c r="Q24" i="2"/>
  <c r="O24" i="2"/>
  <c r="P24" i="2"/>
  <c r="N24" i="2"/>
  <c r="Q23" i="2"/>
  <c r="O23" i="2"/>
  <c r="P23" i="2"/>
  <c r="N23" i="2"/>
  <c r="Q22" i="2"/>
  <c r="O22" i="2"/>
  <c r="P22" i="2"/>
  <c r="N22" i="2"/>
  <c r="Q21" i="2"/>
  <c r="O21" i="2"/>
  <c r="P21" i="2"/>
  <c r="N21" i="2"/>
  <c r="Q20" i="2"/>
  <c r="O20" i="2"/>
  <c r="P20" i="2"/>
  <c r="N20" i="2"/>
  <c r="Q19" i="2"/>
  <c r="O19" i="2"/>
  <c r="P19" i="2"/>
  <c r="N19" i="2"/>
  <c r="Q18" i="2"/>
  <c r="O18" i="2"/>
  <c r="P18" i="2"/>
  <c r="N18" i="2"/>
  <c r="Q17" i="2"/>
  <c r="O17" i="2"/>
  <c r="P17" i="2"/>
  <c r="N17" i="2"/>
  <c r="Q16" i="2"/>
  <c r="O16" i="2"/>
  <c r="P16" i="2"/>
  <c r="N16" i="2"/>
  <c r="Q15" i="2"/>
  <c r="O15" i="2"/>
  <c r="P15" i="2"/>
  <c r="N15" i="2"/>
  <c r="Q14" i="2"/>
  <c r="O14" i="2"/>
  <c r="P14" i="2"/>
  <c r="N14" i="2"/>
  <c r="Q13" i="2"/>
  <c r="O13" i="2"/>
  <c r="P13" i="2"/>
  <c r="N13" i="2"/>
  <c r="Q12" i="2"/>
  <c r="O12" i="2"/>
  <c r="P12" i="2"/>
  <c r="N12" i="2"/>
  <c r="Q11" i="2"/>
  <c r="O11" i="2"/>
  <c r="P11" i="2"/>
  <c r="N11" i="2"/>
  <c r="Q10" i="2"/>
  <c r="O10" i="2"/>
  <c r="P10" i="2"/>
  <c r="N10" i="2"/>
  <c r="Q9" i="2"/>
  <c r="O9" i="2"/>
  <c r="P9" i="2"/>
  <c r="N9" i="2"/>
  <c r="Q8" i="2"/>
  <c r="O8" i="2"/>
  <c r="P8" i="2"/>
  <c r="N8" i="2"/>
  <c r="Q7" i="2"/>
  <c r="O7" i="2"/>
  <c r="P7" i="2"/>
  <c r="N7" i="2"/>
  <c r="Q6" i="2"/>
  <c r="O6" i="2"/>
  <c r="P6" i="2"/>
  <c r="N6" i="2"/>
  <c r="Q5" i="2"/>
  <c r="O5" i="2"/>
  <c r="P5" i="2"/>
  <c r="N5" i="2"/>
  <c r="Q4" i="2"/>
  <c r="O4" i="2"/>
  <c r="P4" i="2"/>
  <c r="N4" i="2"/>
  <c r="Q3" i="2"/>
  <c r="O3" i="2"/>
  <c r="P3" i="2"/>
  <c r="N3" i="2"/>
  <c r="Q2" i="2"/>
  <c r="O2" i="2"/>
  <c r="P2" i="2"/>
  <c r="N2" i="2"/>
  <c r="N42" i="2" s="1"/>
  <c r="B6" i="3" l="1"/>
  <c r="E6" i="3" s="1"/>
  <c r="D2" i="3"/>
  <c r="E2" i="3" s="1"/>
  <c r="E6" i="1"/>
  <c r="N46" i="2"/>
  <c r="G6" i="1"/>
  <c r="B5" i="3" l="1"/>
  <c r="E5" i="3" s="1"/>
  <c r="D4" i="3"/>
  <c r="E4" i="3" s="1"/>
  <c r="N47" i="2"/>
  <c r="N4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1" authorId="0" shapeId="0" xr:uid="{00000000-0006-0000-0200-000001000000}">
      <text>
        <r>
          <rPr>
            <sz val="11"/>
            <color theme="1"/>
            <rFont val="Calibri"/>
            <family val="2"/>
            <scheme val="minor"/>
          </rPr>
          <t>Marvel Studios financial summary. Select any formula cell to see the live formula in Excel's formula bar.</t>
        </r>
      </text>
    </comment>
  </commentList>
</comments>
</file>

<file path=xl/sharedStrings.xml><?xml version="1.0" encoding="utf-8"?>
<sst xmlns="http://schemas.openxmlformats.org/spreadsheetml/2006/main" count="461" uniqueCount="320">
  <si>
    <t>MOVIE INDUSTRY DATA ANALYSIS</t>
  </si>
  <si>
    <t>Excel Portfolio Project  |  Data preparation • Financial analysis • IMDb ratings</t>
  </si>
  <si>
    <t>MOVIES IN DATASET</t>
  </si>
  <si>
    <t>AVERAGE IMDb RATING</t>
  </si>
  <si>
    <t>TOTAL REVENUE (USD, M)</t>
  </si>
  <si>
    <t>TOTAL BUDGET (USD, M)</t>
  </si>
  <si>
    <t>PROJECT OVERVIEW</t>
  </si>
  <si>
    <t>This workbook explores movie metadata, studios, languages, actors, IMDb ratings, budgets and revenues. The movies table contains live Excel formulas that look up financial inputs and standardize values into INR and USD millions for comparison.</t>
  </si>
  <si>
    <t>WORKBOOK GUIDE</t>
  </si>
  <si>
    <t>FORMULA TIP</t>
  </si>
  <si>
    <t>Movies</t>
  </si>
  <si>
    <t>Main dataset + lookup and currency conversion formulas</t>
  </si>
  <si>
    <t>Your formulas are preserved as formulas, not replaced with values.
• Click a calculated cell: its formula appears in the formula bar.
• Press Ctrl + ` to display formulas inside cells (press again to return to results).
• Formula Guide lists readable examples and explains each calculation.</t>
  </si>
  <si>
    <t>financials</t>
  </si>
  <si>
    <t>Source financial inputs, including budget/revenue units</t>
  </si>
  <si>
    <t>Marvel financials</t>
  </si>
  <si>
    <t>Marvel Studios financial summary and target comparison</t>
  </si>
  <si>
    <t>Rating Statistics</t>
  </si>
  <si>
    <t>Mean, mode, median, variance and standard deviation</t>
  </si>
  <si>
    <t>actors / movie_actor / languages</t>
  </si>
  <si>
    <t>Supporting relational tables</t>
  </si>
  <si>
    <t>Note: dashboard KPI cells are live formulas and update when the source table data changes.</t>
  </si>
  <si>
    <t>Formula Guide</t>
  </si>
  <si>
    <t>Formula examples, purpose and where to find live formulas</t>
  </si>
  <si>
    <t>movie_id</t>
  </si>
  <si>
    <t>title</t>
  </si>
  <si>
    <t>industry</t>
  </si>
  <si>
    <t>release_year</t>
  </si>
  <si>
    <t>imdb_rating</t>
  </si>
  <si>
    <t>studio</t>
  </si>
  <si>
    <t>language_id</t>
  </si>
  <si>
    <t>budget</t>
  </si>
  <si>
    <t>revenue</t>
  </si>
  <si>
    <t>unit</t>
  </si>
  <si>
    <t>currency</t>
  </si>
  <si>
    <t>budget(Min)</t>
  </si>
  <si>
    <t>Revenu(Min)</t>
  </si>
  <si>
    <t>Budget INR</t>
  </si>
  <si>
    <t>Revenue INR</t>
  </si>
  <si>
    <t>Budget USD</t>
  </si>
  <si>
    <t>Revenue USD</t>
  </si>
  <si>
    <t>K.G.F: Chapter 2</t>
  </si>
  <si>
    <t>Bollywood</t>
  </si>
  <si>
    <t>Hombale Films</t>
  </si>
  <si>
    <t>Doctor Strange in the Multiverse of Madness</t>
  </si>
  <si>
    <t>Hollywood</t>
  </si>
  <si>
    <t>Marvel Studios</t>
  </si>
  <si>
    <t>Thor: The Dark World</t>
  </si>
  <si>
    <t>Thor: Ragnarok</t>
  </si>
  <si>
    <t>Thor: Love and Thunder</t>
  </si>
  <si>
    <t>Sholay</t>
  </si>
  <si>
    <t>United Producers</t>
  </si>
  <si>
    <t>Dilwale Dulhania Le Jayenge</t>
  </si>
  <si>
    <t>Yash Raj Films</t>
  </si>
  <si>
    <t>3 Idiots</t>
  </si>
  <si>
    <t>Vinod Chopra Films</t>
  </si>
  <si>
    <t>Kabhi Khushi Kabhie Gham</t>
  </si>
  <si>
    <t>Dharma Productions</t>
  </si>
  <si>
    <t>Bajirao Mastani</t>
  </si>
  <si>
    <t>Not Available</t>
  </si>
  <si>
    <t>The Shawshank Redemption</t>
  </si>
  <si>
    <t>Castle Rock Entertainment</t>
  </si>
  <si>
    <t>Inception</t>
  </si>
  <si>
    <t>Warner Bros. Pictures</t>
  </si>
  <si>
    <t>Interstellar</t>
  </si>
  <si>
    <t>The Pursuit of Happyness</t>
  </si>
  <si>
    <t>Columbia Pictures</t>
  </si>
  <si>
    <t>Gladiator</t>
  </si>
  <si>
    <t>Universal Pictures</t>
  </si>
  <si>
    <t>Titanic</t>
  </si>
  <si>
    <t>Paramount Pictures</t>
  </si>
  <si>
    <t>It's a Wonderful Life</t>
  </si>
  <si>
    <t>Liberty Films</t>
  </si>
  <si>
    <t>Avatar</t>
  </si>
  <si>
    <t>20th Century Fox</t>
  </si>
  <si>
    <t>The Godfather</t>
  </si>
  <si>
    <t>The Dark Knight</t>
  </si>
  <si>
    <t>Syncopy</t>
  </si>
  <si>
    <t>Schindler's List</t>
  </si>
  <si>
    <t>Jurassic Park</t>
  </si>
  <si>
    <t>Parasite</t>
  </si>
  <si>
    <t>Avengers: Endgame</t>
  </si>
  <si>
    <t>Avengers: Infinity War</t>
  </si>
  <si>
    <t>Pather Panchali</t>
  </si>
  <si>
    <t>Government of West Bengal</t>
  </si>
  <si>
    <t>Taare Zameen Par</t>
  </si>
  <si>
    <t>Munna Bhai M.B.B.S.</t>
  </si>
  <si>
    <t>Vinod Chopra Productions</t>
  </si>
  <si>
    <t>PK</t>
  </si>
  <si>
    <t>Sanju</t>
  </si>
  <si>
    <t>NULL</t>
  </si>
  <si>
    <t>Pushpa: The Rise - Part 1</t>
  </si>
  <si>
    <t>Mythri Movie Makers</t>
  </si>
  <si>
    <t>RRR</t>
  </si>
  <si>
    <t>DVV Entertainment</t>
  </si>
  <si>
    <t>Baahubali: The Beginning</t>
  </si>
  <si>
    <t>Arka Media Works</t>
  </si>
  <si>
    <t>The Kashmir Files</t>
  </si>
  <si>
    <t>Zee Studios</t>
  </si>
  <si>
    <t>Bajrangi Bhaijaan</t>
  </si>
  <si>
    <t>Salman Khan Films</t>
  </si>
  <si>
    <t>Captain America: The First Avenger</t>
  </si>
  <si>
    <t>Captain America: The Winter Soldier</t>
  </si>
  <si>
    <t>Race 3</t>
  </si>
  <si>
    <t>Shershaah</t>
  </si>
  <si>
    <t>Total Buget INR</t>
  </si>
  <si>
    <t xml:space="preserve"> total Revenue INR</t>
  </si>
  <si>
    <t>total Budget USD</t>
  </si>
  <si>
    <t>Total Revenue USD</t>
  </si>
  <si>
    <t>Total Movies</t>
  </si>
  <si>
    <t>Total Bollywood Movies</t>
  </si>
  <si>
    <t>Total Bollywood Movies Revenue INR</t>
  </si>
  <si>
    <t>Avg Bollywood revenue INR</t>
  </si>
  <si>
    <t>Bollywood revenue INR %</t>
  </si>
  <si>
    <t>Key Metrics</t>
  </si>
  <si>
    <t>Marvel Consolidated P&amp;L</t>
  </si>
  <si>
    <t>Target</t>
  </si>
  <si>
    <t>Target-Actuals</t>
  </si>
  <si>
    <t>Target-Actuals%</t>
  </si>
  <si>
    <t>Revenue</t>
  </si>
  <si>
    <t>Budget</t>
  </si>
  <si>
    <t>Profit/Loss</t>
  </si>
  <si>
    <t>Profit/Loss%</t>
  </si>
  <si>
    <t>Market Share%</t>
  </si>
  <si>
    <t>IMDb Rating Statistics</t>
  </si>
  <si>
    <t>Live Formula Result</t>
  </si>
  <si>
    <t>Mean</t>
  </si>
  <si>
    <t>Mode</t>
  </si>
  <si>
    <t>Median</t>
  </si>
  <si>
    <t>Variance</t>
  </si>
  <si>
    <t>std dev</t>
  </si>
  <si>
    <t>Tip</t>
  </si>
  <si>
    <t>Click a formula result cell to view its formula in the formula bar. Press Ctrl + ` to toggle Show Formulas.</t>
  </si>
  <si>
    <t>Billions</t>
  </si>
  <si>
    <t>INR</t>
  </si>
  <si>
    <t>Millions</t>
  </si>
  <si>
    <t>USD</t>
  </si>
  <si>
    <t>actor_id</t>
  </si>
  <si>
    <t>name</t>
  </si>
  <si>
    <t>birth_year</t>
  </si>
  <si>
    <t>Yash</t>
  </si>
  <si>
    <t>Sanjay Dutt</t>
  </si>
  <si>
    <t>Benedict Cumberbatch</t>
  </si>
  <si>
    <t>Elizabeth Olsen</t>
  </si>
  <si>
    <t>Chris Hemsworth</t>
  </si>
  <si>
    <t>Natalie Portman</t>
  </si>
  <si>
    <t>Tom Hiddleston</t>
  </si>
  <si>
    <t>Amitabh Bachchan</t>
  </si>
  <si>
    <t>Jaya Bachchan</t>
  </si>
  <si>
    <t>Shah Rukh Khan</t>
  </si>
  <si>
    <t>Kajol</t>
  </si>
  <si>
    <t>Aamir Khan</t>
  </si>
  <si>
    <t>R. Madhavan</t>
  </si>
  <si>
    <t>Sharman Joshi</t>
  </si>
  <si>
    <t>Hrithik Roshan</t>
  </si>
  <si>
    <t>Ranveer Singh</t>
  </si>
  <si>
    <t>Deepika Padukone</t>
  </si>
  <si>
    <t>Tim Robbins</t>
  </si>
  <si>
    <t>Morgan Freeman</t>
  </si>
  <si>
    <t>Leonardo DiCaprio</t>
  </si>
  <si>
    <t>Ken Watanabe</t>
  </si>
  <si>
    <t>Matthew McConaughey</t>
  </si>
  <si>
    <t>Anne Hathaway</t>
  </si>
  <si>
    <t>John David Washington</t>
  </si>
  <si>
    <t>Robert Pattinson</t>
  </si>
  <si>
    <t>Will Smith</t>
  </si>
  <si>
    <t>Thandiwe Newton</t>
  </si>
  <si>
    <t>Russell Crowe</t>
  </si>
  <si>
    <t>Joaquin Phoenix</t>
  </si>
  <si>
    <t>Kate Winslet</t>
  </si>
  <si>
    <t>James Stewart</t>
  </si>
  <si>
    <t>Donna Reed</t>
  </si>
  <si>
    <t>Sam Worthington</t>
  </si>
  <si>
    <t>Zoe Saldana</t>
  </si>
  <si>
    <t>Marlon Brando</t>
  </si>
  <si>
    <t>Al Pacino</t>
  </si>
  <si>
    <t>Christian Bale</t>
  </si>
  <si>
    <t>Heath Ledger</t>
  </si>
  <si>
    <t>Liam Neeson</t>
  </si>
  <si>
    <t>Ben Kingsley</t>
  </si>
  <si>
    <t>Sam Neill</t>
  </si>
  <si>
    <t>Laura Dern</t>
  </si>
  <si>
    <t>Song Kang-ho</t>
  </si>
  <si>
    <t>Lee Sun-kyun</t>
  </si>
  <si>
    <t>Robert Downey Jr.</t>
  </si>
  <si>
    <t>Chris Evans</t>
  </si>
  <si>
    <t>Kanu Banerjee</t>
  </si>
  <si>
    <t>Karuna Banerjee</t>
  </si>
  <si>
    <t>Darsheel Safary</t>
  </si>
  <si>
    <t>Sunil Dutt</t>
  </si>
  <si>
    <t>Anushka Sharma</t>
  </si>
  <si>
    <t>Ranbir Kapoor</t>
  </si>
  <si>
    <t>Allu Arjun</t>
  </si>
  <si>
    <t>Fahadh Faasil</t>
  </si>
  <si>
    <t>N. T. Rama Rao Jr.</t>
  </si>
  <si>
    <t>Ram Charan</t>
  </si>
  <si>
    <t>Prabhas</t>
  </si>
  <si>
    <t>Rana Daggubati</t>
  </si>
  <si>
    <t>Mithun Chakraborty</t>
  </si>
  <si>
    <t>Anupam Kher</t>
  </si>
  <si>
    <t>Salman Khan</t>
  </si>
  <si>
    <t>Nawazuddin Siddiqui</t>
  </si>
  <si>
    <t>Tommy Lee Jones</t>
  </si>
  <si>
    <t>Sebastian Stan</t>
  </si>
  <si>
    <t>Anil Kapoor</t>
  </si>
  <si>
    <t>Sidharth Malhotra</t>
  </si>
  <si>
    <t>Kiara Advani</t>
  </si>
  <si>
    <t>Hindi</t>
  </si>
  <si>
    <t>Telugu</t>
  </si>
  <si>
    <t>Kannada</t>
  </si>
  <si>
    <t>Tamil</t>
  </si>
  <si>
    <t>English</t>
  </si>
  <si>
    <t>French</t>
  </si>
  <si>
    <t>Bengali</t>
  </si>
  <si>
    <t>Gujarati</t>
  </si>
  <si>
    <t>FORMULA GUIDE &amp; EXPLANATIONS</t>
  </si>
  <si>
    <t>Examples are shown as text for easy reading. The live formulas remain in the original worksheet cells.</t>
  </si>
  <si>
    <t>Worksheet / Column</t>
  </si>
  <si>
    <t>Formula example (text)</t>
  </si>
  <si>
    <t>What it does</t>
  </si>
  <si>
    <t>Why it is used</t>
  </si>
  <si>
    <t>Where to click for live formula</t>
  </si>
  <si>
    <t>movies – budget/revenue lookup</t>
  </si>
  <si>
    <t>=XLOOKUP([@movie_id],Financials[movie_id],Financials[budget],"Not Available",0)</t>
  </si>
  <si>
    <t>Finds the matching budget in the Financials table using movie_id.</t>
  </si>
  <si>
    <t>Connects the movie record with its financial source data.</t>
  </si>
  <si>
    <t>movies!H2:H48</t>
  </si>
  <si>
    <t>movies – unit lookup</t>
  </si>
  <si>
    <t>=XLOOKUP([@movie_id],Financials[movie_id],Financials[unit],"Not Available",0)</t>
  </si>
  <si>
    <t>Returns whether source amounts are in Millions or Billions.</t>
  </si>
  <si>
    <t>Makes the amount conversion logic consistent.</t>
  </si>
  <si>
    <t>movies!J2:J48</t>
  </si>
  <si>
    <t>movies – currency lookup</t>
  </si>
  <si>
    <t>=XLOOKUP([@movie_id],Financials[movie_id],Financials[currency],"Not Available",0)</t>
  </si>
  <si>
    <t>Returns the source currency for each movie.</t>
  </si>
  <si>
    <t>Identifies which currency conversion is needed.</t>
  </si>
  <si>
    <t>movies!K2:K48</t>
  </si>
  <si>
    <t>movies – budget(Min)</t>
  </si>
  <si>
    <t>=IF([@unit]="Billions",[@budget]*1000,[@budget])</t>
  </si>
  <si>
    <t>Converts budget into millions when the source is billions.</t>
  </si>
  <si>
    <t>Standardizes units for comparison.</t>
  </si>
  <si>
    <t>movies!L2:L48</t>
  </si>
  <si>
    <t>movies – Revenue(Min)</t>
  </si>
  <si>
    <t>=IF([@unit]="Billions",[@revenue]*1000,[@revenue])</t>
  </si>
  <si>
    <t>Converts revenue into millions when the source is billions.</t>
  </si>
  <si>
    <t>movies!M2:M48</t>
  </si>
  <si>
    <t>movies – Budget INR</t>
  </si>
  <si>
    <t>=IF([@currency]="USD",[@[budget(Min)]]*80,[@[budget(Min)]])</t>
  </si>
  <si>
    <t>Converts USD-denominated budget to INR using the workbook's rate of 80.</t>
  </si>
  <si>
    <t>Places budget values on a common INR basis.</t>
  </si>
  <si>
    <t>movies!N2:N48</t>
  </si>
  <si>
    <t>movies – Revenue INR</t>
  </si>
  <si>
    <t>=IF([@currency]="USD",[@[Revenue(Min)]]*80,[@[Revenue(Min)]])</t>
  </si>
  <si>
    <t>Converts USD-denominated revenue to INR using the workbook's rate of 80.</t>
  </si>
  <si>
    <t>Places revenue values on a common INR basis.</t>
  </si>
  <si>
    <t>movies!O2:O48</t>
  </si>
  <si>
    <t>movies – Budget USD</t>
  </si>
  <si>
    <t>=IF([@currency]="INR",[@[budget(Min)]]/80,[@[budget(Min)]])</t>
  </si>
  <si>
    <t>Converts INR-denominated budget to USD using the workbook's rate of 80.</t>
  </si>
  <si>
    <t>Allows comparisons in USD.</t>
  </si>
  <si>
    <t>movies!P2:P48</t>
  </si>
  <si>
    <t>movies – Revenue USD</t>
  </si>
  <si>
    <t>=IF([@currency]="INR",[@[Revenue(Min)]]/80,[@[Revenue(Min)]])</t>
  </si>
  <si>
    <t>Converts INR-denominated revenue to USD using the workbook's rate of 80.</t>
  </si>
  <si>
    <t>movies!Q2:Q48</t>
  </si>
  <si>
    <t>Marvel financials – Revenue</t>
  </si>
  <si>
    <t>=SUMIF(Movies[studio],movies!F3,Movies[Revenue USD])</t>
  </si>
  <si>
    <t>Adds USD revenue for rows matching the studio criterion.</t>
  </si>
  <si>
    <t>Summarizes Marvel Studios revenue.</t>
  </si>
  <si>
    <t>'Marvel financials'!B2</t>
  </si>
  <si>
    <t>Marvel financials – Target difference</t>
  </si>
  <si>
    <t>=B2-C2</t>
  </si>
  <si>
    <t>Subtracts target from actual revenue.</t>
  </si>
  <si>
    <t>Shows whether actual revenue is above or below target.</t>
  </si>
  <si>
    <t>'Marvel financials'!D2</t>
  </si>
  <si>
    <t>Marvel financials – Target %</t>
  </si>
  <si>
    <t>=D2/B2</t>
  </si>
  <si>
    <t>Calculates target difference as a share of actual revenue.</t>
  </si>
  <si>
    <t>Makes the variance easier to compare proportionally.</t>
  </si>
  <si>
    <t>'Marvel financials'!E2</t>
  </si>
  <si>
    <t>Marvel financials – Profit/Loss</t>
  </si>
  <si>
    <t>=B2-B3</t>
  </si>
  <si>
    <t>Subtracts budget from revenue.</t>
  </si>
  <si>
    <t>Calculates profit or loss.</t>
  </si>
  <si>
    <t>'Marvel financials'!B4</t>
  </si>
  <si>
    <t>Rating Statistics – Mean</t>
  </si>
  <si>
    <t>=AVERAGE(Movies[imdb_rating])</t>
  </si>
  <si>
    <t>Calculates the average IMDb rating.</t>
  </si>
  <si>
    <t>Gives a central rating measure.</t>
  </si>
  <si>
    <t>'Rating Statistics'!B2</t>
  </si>
  <si>
    <t>Rating Statistics – Mode</t>
  </si>
  <si>
    <t>=MODE(Movies[imdb_rating])</t>
  </si>
  <si>
    <t>Returns the most frequently occurring IMDb rating.</t>
  </si>
  <si>
    <t>Shows the most common rating.</t>
  </si>
  <si>
    <t>'Rating Statistics'!B3</t>
  </si>
  <si>
    <t>Rating Statistics – Median</t>
  </si>
  <si>
    <t>=MEDIAN(Movies[imdb_rating])</t>
  </si>
  <si>
    <t>Returns the middle IMDb rating when values are sorted.</t>
  </si>
  <si>
    <t>Reduces the effect of unusually high or low ratings.</t>
  </si>
  <si>
    <t>'Rating Statistics'!B4</t>
  </si>
  <si>
    <t>Rating Statistics – Population variance</t>
  </si>
  <si>
    <t>=VAR.P(Movies[imdb_rating])</t>
  </si>
  <si>
    <t>Measures how ratings vary around the mean for the full dataset.</t>
  </si>
  <si>
    <t>Describes rating spread.</t>
  </si>
  <si>
    <t>'Rating Statistics'!B5</t>
  </si>
  <si>
    <t>Rating Statistics – Population standard deviation</t>
  </si>
  <si>
    <t>=STDEV.P(Movies[imdb_rating])</t>
  </si>
  <si>
    <t>Measures typical rating spread in the original rating units.</t>
  </si>
  <si>
    <t>Makes rating variation easier to interpret.</t>
  </si>
  <si>
    <t>'Rating Statistics'!B6</t>
  </si>
  <si>
    <t>Overview – Movie count</t>
  </si>
  <si>
    <t>=COUNTA(Movies[title])</t>
  </si>
  <si>
    <t>Counts non-empty movie titles.</t>
  </si>
  <si>
    <t>Provides a live dataset-size KPI.</t>
  </si>
  <si>
    <t>Overview!A6</t>
  </si>
  <si>
    <t>Overview – Total revenue</t>
  </si>
  <si>
    <t>=SUM(Movies[Revenue USD])</t>
  </si>
  <si>
    <t>Adds all standardized USD revenue values.</t>
  </si>
  <si>
    <t>Provides a live financial KPI in USD millions.</t>
  </si>
  <si>
    <t>Overview!E6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</si>
</sst>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5" formatCode="_-[$$-409]* #,##0.00_ ;_-[$$-409]* \-#,##0.00\ ;_-[$$-409]* &quot;-&quot;??_ ;_-@_ "/>
    <numFmt numFmtId="166" formatCode="0.0"/>
    <numFmt numFmtId="167" formatCode="#,##0.00;[Red]\(#,##0.00\);\-"/>
    <numFmt numFmtId="168" formatCode="#,##0.0"/>
    <numFmt numFmtId="169" formatCode="_ [$₹-439]* #,##0.00_ ;_ [$₹-439]* \-#,##0.00_ ;_ [$₹-439]* &quot;-&quot;??_ ;_ @_ "/>
  </numFmts>
  <fonts count="17">
    <font>
      <sz val="11"/>
      <color theme="1"/>
      <name val="Calibri"/>
      <family val="2"/>
      <scheme val="minor"/>
    </font>
    <font>
      <b/>
      <sz val="10"/>
      <color rgb="FFFFFFFF"/>
      <name val="Aptos"/>
    </font>
    <font>
      <sz val="10"/>
      <color rgb="FF243447"/>
      <name val="Aptos"/>
    </font>
    <font>
      <b/>
      <sz val="12"/>
      <color rgb="FFFFFFFF"/>
      <name val="Aptos Display"/>
    </font>
    <font>
      <b/>
      <sz val="11"/>
      <color rgb="FF1F4E78"/>
      <name val="Aptos"/>
    </font>
    <font>
      <sz val="11"/>
      <color rgb="FF243447"/>
      <name val="Aptos"/>
    </font>
    <font>
      <b/>
      <sz val="11"/>
      <color rgb="FF0F6B78"/>
      <name val="Calibri"/>
    </font>
    <font>
      <b/>
      <sz val="22"/>
      <color rgb="FFFFFFFF"/>
      <name val="Aptos Display"/>
    </font>
    <font>
      <i/>
      <sz val="11"/>
      <color rgb="FF667085"/>
      <name val="Aptos"/>
    </font>
    <font>
      <b/>
      <sz val="9"/>
      <color rgb="FFFFFFFF"/>
      <name val="Aptos"/>
    </font>
    <font>
      <b/>
      <sz val="20"/>
      <color rgb="FF17365D"/>
      <name val="Aptos Display"/>
    </font>
    <font>
      <b/>
      <sz val="12"/>
      <color rgb="FFFFFFFF"/>
      <name val="Aptos"/>
    </font>
    <font>
      <b/>
      <sz val="10"/>
      <color rgb="FF1F4E78"/>
      <name val="Aptos"/>
    </font>
    <font>
      <i/>
      <sz val="10"/>
      <color rgb="FF667085"/>
      <name val="Aptos"/>
    </font>
    <font>
      <b/>
      <sz val="20"/>
      <color rgb="FFFFFFFF"/>
      <name val="Aptos Display"/>
    </font>
    <font>
      <sz val="9"/>
      <color rgb="FF243447"/>
      <name val="Aptos"/>
    </font>
    <font>
      <sz val="9"/>
      <color rgb="FF7030A0"/>
      <name val="Consolas"/>
    </font>
  </fonts>
  <fills count="11">
    <fill>
      <patternFill patternType="none"/>
    </fill>
    <fill>
      <patternFill patternType="gray125"/>
    </fill>
    <fill>
      <patternFill patternType="solid">
        <fgColor rgb="FFFFFF00"/>
        <bgColor indexed="64"/>
      </patternFill>
    </fill>
    <fill>
      <patternFill patternType="solid">
        <fgColor rgb="FF17365D"/>
      </patternFill>
    </fill>
    <fill>
      <patternFill patternType="solid">
        <fgColor rgb="FFF6F9FC"/>
      </patternFill>
    </fill>
    <fill>
      <patternFill patternType="solid">
        <fgColor rgb="FFD9EAF7"/>
      </patternFill>
    </fill>
    <fill>
      <patternFill patternType="solid">
        <fgColor rgb="FF0F6B78"/>
      </patternFill>
    </fill>
    <fill>
      <patternFill patternType="solid">
        <fgColor rgb="FFEAF2F8"/>
      </patternFill>
    </fill>
    <fill>
      <patternFill patternType="solid">
        <fgColor rgb="FFF3F7FB"/>
      </patternFill>
    </fill>
    <fill>
      <patternFill patternType="solid">
        <fgColor rgb="FFFFFFFF"/>
      </patternFill>
    </fill>
    <fill>
      <patternFill patternType="solid">
        <fgColor rgb="FFE2F0D9"/>
      </patternFill>
    </fill>
  </fills>
  <borders count="7">
    <border>
      <left/>
      <right/>
      <top/>
      <bottom/>
      <diagonal/>
    </border>
    <border>
      <left/>
      <right style="thin">
        <color rgb="FF000000"/>
      </right>
      <top style="thin">
        <color rgb="FF000000"/>
      </top>
      <bottom style="thin">
        <color rgb="FF000000"/>
      </bottom>
      <diagonal/>
    </border>
    <border>
      <left/>
      <right/>
      <top/>
      <bottom style="medium">
        <color rgb="FF0F6B78"/>
      </bottom>
      <diagonal/>
    </border>
    <border>
      <left/>
      <right/>
      <top/>
      <bottom style="hair">
        <color rgb="FFE5EAF0"/>
      </bottom>
      <diagonal/>
    </border>
    <border>
      <left/>
      <right/>
      <top/>
      <bottom style="thin">
        <color rgb="FFD6E2F0"/>
      </bottom>
      <diagonal/>
    </border>
    <border>
      <left style="thin">
        <color theme="8"/>
      </left>
      <right style="thin">
        <color theme="8"/>
      </right>
      <top style="thin">
        <color theme="8"/>
      </top>
      <bottom style="thin">
        <color theme="8"/>
      </bottom>
      <diagonal/>
    </border>
    <border>
      <left style="thin">
        <color theme="8"/>
      </left>
      <right style="thin">
        <color theme="8"/>
      </right>
      <top style="thin">
        <color theme="8"/>
      </top>
      <bottom/>
      <diagonal/>
    </border>
  </borders>
  <cellStyleXfs count="1">
    <xf numFmtId="0" fontId="0" fillId="0" borderId="0"/>
  </cellStyleXfs>
  <cellXfs count="56">
    <xf numFmtId="0" fontId="0" fillId="0" borderId="0" xfId="0"/>
    <xf numFmtId="0" fontId="12" fillId="4" borderId="4" xfId="0" applyFont="1" applyFill="1" applyBorder="1"/>
    <xf numFmtId="0" fontId="12" fillId="9" borderId="4" xfId="0" applyFont="1" applyFill="1" applyBorder="1"/>
    <xf numFmtId="0" fontId="1" fillId="3" borderId="2" xfId="0" applyFont="1" applyFill="1" applyBorder="1" applyAlignment="1">
      <alignment horizontal="center" vertical="center" wrapText="1"/>
    </xf>
    <xf numFmtId="0" fontId="2" fillId="4" borderId="3" xfId="0" applyFont="1" applyFill="1" applyBorder="1" applyAlignment="1">
      <alignment vertical="center"/>
    </xf>
    <xf numFmtId="166" fontId="2" fillId="4" borderId="3" xfId="0" applyNumberFormat="1" applyFont="1" applyFill="1" applyBorder="1" applyAlignment="1">
      <alignment vertical="center"/>
    </xf>
    <xf numFmtId="167" fontId="2" fillId="4" borderId="3" xfId="0" applyNumberFormat="1" applyFont="1" applyFill="1" applyBorder="1" applyAlignment="1">
      <alignment vertical="center"/>
    </xf>
    <xf numFmtId="0" fontId="2" fillId="0" borderId="3" xfId="0" applyFont="1" applyBorder="1" applyAlignment="1">
      <alignment vertical="center"/>
    </xf>
    <xf numFmtId="166" fontId="2" fillId="0" borderId="3" xfId="0" applyNumberFormat="1" applyFont="1" applyBorder="1" applyAlignment="1">
      <alignment vertical="center"/>
    </xf>
    <xf numFmtId="167" fontId="2" fillId="0" borderId="3" xfId="0" applyNumberFormat="1" applyFont="1" applyBorder="1" applyAlignment="1">
      <alignment vertical="center"/>
    </xf>
    <xf numFmtId="167" fontId="2" fillId="2" borderId="3" xfId="0" applyNumberFormat="1" applyFont="1" applyFill="1" applyBorder="1" applyAlignment="1">
      <alignment vertical="center"/>
    </xf>
    <xf numFmtId="0" fontId="1" fillId="3" borderId="0" xfId="0" applyFont="1" applyFill="1" applyAlignment="1">
      <alignment horizontal="center" vertical="center" wrapText="1"/>
    </xf>
    <xf numFmtId="0" fontId="2" fillId="4" borderId="4" xfId="0" applyFont="1" applyFill="1" applyBorder="1" applyAlignment="1">
      <alignment vertical="center"/>
    </xf>
    <xf numFmtId="0" fontId="2" fillId="0" borderId="4" xfId="0" applyFont="1" applyBorder="1" applyAlignment="1">
      <alignment vertical="center"/>
    </xf>
    <xf numFmtId="0" fontId="3" fillId="3" borderId="0" xfId="0" applyFont="1" applyFill="1" applyAlignment="1">
      <alignment horizontal="left" vertical="center"/>
    </xf>
    <xf numFmtId="0" fontId="4" fillId="5" borderId="4" xfId="0" applyFont="1" applyFill="1" applyBorder="1"/>
    <xf numFmtId="2" fontId="5" fillId="4" borderId="4" xfId="0" applyNumberFormat="1" applyFont="1" applyFill="1" applyBorder="1"/>
    <xf numFmtId="0" fontId="6" fillId="0" borderId="0" xfId="0" applyFont="1"/>
    <xf numFmtId="0" fontId="0" fillId="0" borderId="0" xfId="0" applyAlignment="1">
      <alignment vertical="top" wrapText="1"/>
    </xf>
    <xf numFmtId="4" fontId="2" fillId="4" borderId="3" xfId="0" applyNumberFormat="1" applyFont="1" applyFill="1" applyBorder="1" applyAlignment="1">
      <alignment vertical="center"/>
    </xf>
    <xf numFmtId="4" fontId="2" fillId="0" borderId="3" xfId="0" applyNumberFormat="1" applyFont="1" applyBorder="1" applyAlignment="1">
      <alignment vertical="center"/>
    </xf>
    <xf numFmtId="0" fontId="1" fillId="6" borderId="0" xfId="0" applyFont="1" applyFill="1" applyAlignment="1">
      <alignment horizontal="center" vertical="center" wrapText="1"/>
    </xf>
    <xf numFmtId="0" fontId="15" fillId="4" borderId="4" xfId="0" applyFont="1" applyFill="1" applyBorder="1" applyAlignment="1">
      <alignment vertical="top" wrapText="1"/>
    </xf>
    <xf numFmtId="49" fontId="16" fillId="4" borderId="4" xfId="0" applyNumberFormat="1" applyFont="1" applyFill="1" applyBorder="1" applyAlignment="1">
      <alignment vertical="top" wrapText="1"/>
    </xf>
    <xf numFmtId="0" fontId="15" fillId="9" borderId="4" xfId="0" applyFont="1" applyFill="1" applyBorder="1" applyAlignment="1">
      <alignment vertical="top" wrapText="1"/>
    </xf>
    <xf numFmtId="49" fontId="16" fillId="9" borderId="4" xfId="0" applyNumberFormat="1" applyFont="1" applyFill="1" applyBorder="1" applyAlignment="1">
      <alignment vertical="top" wrapText="1"/>
    </xf>
    <xf numFmtId="0" fontId="11" fillId="3" borderId="0" xfId="0" applyFont="1" applyFill="1" applyAlignment="1">
      <alignment vertical="center"/>
    </xf>
    <xf numFmtId="0" fontId="2" fillId="4" borderId="4" xfId="0" applyFont="1" applyFill="1" applyBorder="1" applyAlignment="1">
      <alignment vertical="center" wrapText="1"/>
    </xf>
    <xf numFmtId="168" fontId="10" fillId="7" borderId="0" xfId="0" applyNumberFormat="1" applyFont="1" applyFill="1" applyAlignment="1">
      <alignment horizontal="center" vertical="center"/>
    </xf>
    <xf numFmtId="0" fontId="2" fillId="10" borderId="0" xfId="0" applyFont="1" applyFill="1" applyAlignment="1">
      <alignment vertical="top" wrapText="1"/>
    </xf>
    <xf numFmtId="0" fontId="9" fillId="6" borderId="0" xfId="0" applyFont="1" applyFill="1" applyAlignment="1">
      <alignment horizontal="center" vertical="center" wrapText="1"/>
    </xf>
    <xf numFmtId="0" fontId="2" fillId="9" borderId="4" xfId="0" applyFont="1" applyFill="1" applyBorder="1" applyAlignment="1">
      <alignment vertical="center" wrapText="1"/>
    </xf>
    <xf numFmtId="0" fontId="5" fillId="8" borderId="0" xfId="0" applyFont="1" applyFill="1" applyAlignment="1">
      <alignment vertical="center" wrapText="1"/>
    </xf>
    <xf numFmtId="0" fontId="8" fillId="0" borderId="0" xfId="0" applyFont="1" applyAlignment="1">
      <alignment vertical="center"/>
    </xf>
    <xf numFmtId="2" fontId="10" fillId="7" borderId="0" xfId="0" applyNumberFormat="1" applyFont="1" applyFill="1" applyAlignment="1">
      <alignment horizontal="center" vertical="center"/>
    </xf>
    <xf numFmtId="0" fontId="7" fillId="3" borderId="0" xfId="0" applyFont="1" applyFill="1" applyAlignment="1">
      <alignment horizontal="left" vertical="center" indent="1"/>
    </xf>
    <xf numFmtId="0" fontId="13" fillId="8" borderId="0" xfId="0" applyFont="1" applyFill="1" applyAlignment="1">
      <alignment vertical="center" wrapText="1"/>
    </xf>
    <xf numFmtId="1" fontId="10" fillId="7" borderId="0" xfId="0" applyNumberFormat="1" applyFont="1" applyFill="1" applyAlignment="1">
      <alignment horizontal="center" vertical="center"/>
    </xf>
    <xf numFmtId="0" fontId="14" fillId="3" borderId="0" xfId="0" applyFont="1" applyFill="1" applyAlignment="1">
      <alignment vertical="center" indent="1"/>
    </xf>
    <xf numFmtId="0" fontId="13" fillId="0" borderId="0" xfId="0" applyFont="1" applyAlignment="1">
      <alignment wrapText="1"/>
    </xf>
    <xf numFmtId="9" fontId="2" fillId="4" borderId="4" xfId="0" applyNumberFormat="1" applyFont="1" applyFill="1" applyBorder="1" applyAlignment="1">
      <alignment vertical="center"/>
    </xf>
    <xf numFmtId="165" fontId="2" fillId="4" borderId="4" xfId="0" applyNumberFormat="1" applyFont="1" applyFill="1" applyBorder="1" applyAlignment="1">
      <alignment vertical="center"/>
    </xf>
    <xf numFmtId="169" fontId="2" fillId="4" borderId="3" xfId="0" applyNumberFormat="1" applyFont="1" applyFill="1" applyBorder="1" applyAlignment="1">
      <alignment vertical="center"/>
    </xf>
    <xf numFmtId="165" fontId="2" fillId="0" borderId="4" xfId="0" applyNumberFormat="1" applyFont="1" applyBorder="1" applyAlignment="1">
      <alignment vertical="center"/>
    </xf>
    <xf numFmtId="9" fontId="2" fillId="0" borderId="4" xfId="0" applyNumberFormat="1" applyFont="1" applyBorder="1" applyAlignment="1">
      <alignment vertical="center"/>
    </xf>
    <xf numFmtId="167" fontId="2" fillId="0" borderId="0" xfId="0" applyNumberFormat="1" applyFont="1" applyBorder="1" applyAlignment="1">
      <alignment vertical="center"/>
    </xf>
    <xf numFmtId="167" fontId="2" fillId="4" borderId="5" xfId="0" applyNumberFormat="1" applyFont="1" applyFill="1" applyBorder="1" applyAlignment="1">
      <alignment vertical="center"/>
    </xf>
    <xf numFmtId="167" fontId="2" fillId="0" borderId="5" xfId="0" applyNumberFormat="1" applyFont="1" applyBorder="1" applyAlignment="1">
      <alignment vertical="center"/>
    </xf>
    <xf numFmtId="167" fontId="2" fillId="4" borderId="1" xfId="0" applyNumberFormat="1" applyFont="1" applyFill="1" applyBorder="1" applyAlignment="1">
      <alignment vertical="center"/>
    </xf>
    <xf numFmtId="167" fontId="2" fillId="0" borderId="1" xfId="0" applyNumberFormat="1" applyFont="1" applyBorder="1" applyAlignment="1">
      <alignment vertical="center"/>
    </xf>
    <xf numFmtId="9" fontId="2" fillId="4" borderId="1" xfId="0" applyNumberFormat="1" applyFont="1" applyFill="1" applyBorder="1" applyAlignment="1">
      <alignment vertical="center"/>
    </xf>
    <xf numFmtId="167" fontId="2" fillId="4" borderId="6" xfId="0" applyNumberFormat="1" applyFont="1" applyFill="1" applyBorder="1" applyAlignment="1">
      <alignment vertical="center"/>
    </xf>
    <xf numFmtId="0" fontId="0" fillId="0" borderId="0" xfId="0" applyAlignment="1"/>
    <xf numFmtId="0" fontId="11" fillId="3" borderId="0" xfId="0" applyFont="1" applyFill="1" applyAlignment="1"/>
    <xf numFmtId="0" fontId="0" fillId="4" borderId="4" xfId="0" applyFill="1" applyBorder="1" applyAlignment="1"/>
    <xf numFmtId="0" fontId="0" fillId="9" borderId="4" xfId="0" applyFill="1" applyBorder="1" applyAlignment="1"/>
  </cellXfs>
  <cellStyles count="1">
    <cellStyle name="Normal" xfId="0" builtinId="0"/>
  </cellStyles>
  <dxfs count="30">
    <dxf>
      <fill>
        <patternFill patternType="solid">
          <fgColor indexed="64"/>
          <bgColor theme="9" tint="0.59999389629810485"/>
        </patternFill>
      </fill>
    </dxf>
    <dxf>
      <fill>
        <patternFill patternType="solid">
          <fgColor indexed="64"/>
          <bgColor theme="9" tint="0.59999389629810485"/>
        </patternFill>
      </fill>
    </dxf>
    <dxf>
      <fill>
        <patternFill patternType="solid">
          <fgColor indexed="64"/>
          <bgColor theme="9" tint="0.59999389629810485"/>
        </patternFill>
      </fill>
    </dxf>
    <dxf>
      <font>
        <strike val="0"/>
        <condense val="0"/>
        <extend val="0"/>
        <outline val="0"/>
        <shadow val="0"/>
        <vertAlign val="baseline"/>
        <sz val="11"/>
        <color auto="1"/>
        <name val="Calibri"/>
        <family val="2"/>
        <scheme val="minor"/>
      </font>
      <fill>
        <patternFill patternType="solid">
          <fgColor indexed="64"/>
          <bgColor theme="9" tint="0.59999389629810485"/>
        </patternFill>
      </fill>
    </dxf>
    <dxf>
      <font>
        <color rgb="FF9C0006"/>
      </font>
      <fill>
        <patternFill>
          <bgColor rgb="FFFFC7CE"/>
        </patternFill>
      </fill>
    </dxf>
    <dxf>
      <numFmt numFmtId="0" formatCode="General"/>
      <border>
        <left style="thin">
          <color rgb="FF000000"/>
        </left>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0" formatCode="General"/>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strike val="0"/>
        <condense val="0"/>
        <extend val="0"/>
        <outline val="0"/>
        <shadow val="0"/>
        <vertAlign val="baseline"/>
        <sz val="11"/>
        <color auto="1"/>
        <name val="Calibri"/>
        <family val="2"/>
        <scheme val="minor"/>
      </font>
      <fill>
        <patternFill patternType="solid">
          <fgColor indexed="64"/>
          <bgColor theme="9" tint="0.59999389629810485"/>
        </patternFill>
      </fill>
      <border>
        <left style="thin">
          <color rgb="FF000000"/>
        </left>
        <right style="thin">
          <color rgb="FF000000"/>
        </right>
        <top/>
        <bottom/>
        <vertical style="thin">
          <color rgb="FF000000"/>
        </vertical>
        <horizontal style="thin">
          <color rgb="FF000000"/>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vies" displayName="Movies" ref="A1:Q40" totalsRowShown="0" headerRowDxfId="25" headerRowBorderDxfId="23" tableBorderDxfId="24" totalsRowBorderDxfId="22">
  <autoFilter ref="A1:Q40" xr:uid="{00000000-0009-0000-0100-000001000000}"/>
  <tableColumns count="17">
    <tableColumn id="1" xr3:uid="{00000000-0010-0000-0000-000001000000}" name="movie_id" dataDxfId="21"/>
    <tableColumn id="8" xr3:uid="{00000000-0010-0000-0000-000008000000}" name="title" dataDxfId="20"/>
    <tableColumn id="3" xr3:uid="{00000000-0010-0000-0000-000003000000}" name="industry" dataDxfId="19"/>
    <tableColumn id="4" xr3:uid="{00000000-0010-0000-0000-000004000000}" name="release_year" dataDxfId="18"/>
    <tableColumn id="5" xr3:uid="{00000000-0010-0000-0000-000005000000}" name="imdb_rating" dataDxfId="17"/>
    <tableColumn id="6" xr3:uid="{00000000-0010-0000-0000-000006000000}" name="studio" dataDxfId="16"/>
    <tableColumn id="7" xr3:uid="{00000000-0010-0000-0000-000007000000}" name="language_id" dataDxfId="15"/>
    <tableColumn id="14" xr3:uid="{00000000-0010-0000-0000-00000E000000}" name="budget" dataDxfId="14">
      <calculatedColumnFormula array="1">_xlfn.XLOOKUP(Movies[[#This Row],[movie_id]:[movie_id]],Financials[[#All],[movie_id]:[movie_id]],Financials[[#All],[budget]],"Not Available",0)</calculatedColumnFormula>
    </tableColumn>
    <tableColumn id="19" xr3:uid="{00000000-0010-0000-0000-000013000000}" name="revenue" dataDxfId="13">
      <calculatedColumnFormula array="1">_xlfn.XLOOKUP(Movies[[#This Row],[movie_id]:[movie_id]],Financials[[#All],[movie_id]:[movie_id]],Financials[[#All],[revenue]],"Not Available",0)</calculatedColumnFormula>
    </tableColumn>
    <tableColumn id="15" xr3:uid="{00000000-0010-0000-0000-00000F000000}" name="unit" dataDxfId="12">
      <calculatedColumnFormula array="1">_xlfn.XLOOKUP(Movies[[#This Row],[movie_id]:[movie_id]],Financials[[#All],[movie_id]:[movie_id]],Financials[[#All],[unit]],"Not Available",0)</calculatedColumnFormula>
    </tableColumn>
    <tableColumn id="16" xr3:uid="{00000000-0010-0000-0000-000010000000}" name="currency" dataDxfId="11">
      <calculatedColumnFormula array="1">_xlfn.XLOOKUP(Movies[[#This Row],[movie_id]:[movie_id]],Financials[[#All],[movie_id]:[movie_id]],Financials[[#All],[currency]],"Not Available",0)</calculatedColumnFormula>
    </tableColumn>
    <tableColumn id="2" xr3:uid="{00000000-0010-0000-0000-000002000000}" name="budget(Min)" dataDxfId="10">
      <calculatedColumnFormula>IF(Movies[[#This Row],[unit]]="Billions",Movies[[#This Row],[budget]]*1000,Movies[[#This Row],[budget]])</calculatedColumnFormula>
    </tableColumn>
    <tableColumn id="9" xr3:uid="{00000000-0010-0000-0000-000009000000}" name="Revenu(Min)" dataDxfId="9">
      <calculatedColumnFormula>IF(Movies[[#This Row],[unit]]="Billions",Movies[[#This Row],[revenue]]*1000,Movies[[#This Row],[revenue]])</calculatedColumnFormula>
    </tableColumn>
    <tableColumn id="10" xr3:uid="{00000000-0010-0000-0000-00000A000000}" name="Budget INR" dataDxfId="8">
      <calculatedColumnFormula>IF(Movies[[#This Row],[currency]]="USD",Movies[[#This Row],[budget(Min)]]*80,Movies[[#This Row],[budget(Min)]])</calculatedColumnFormula>
    </tableColumn>
    <tableColumn id="11" xr3:uid="{00000000-0010-0000-0000-00000B000000}" name="Revenue INR" dataDxfId="7">
      <calculatedColumnFormula>IF(Movies[[#This Row],[currency]]="USD",Movies[[#This Row],[Revenu(Min)]]*80,Movies[[#This Row],[Revenu(Min)]])</calculatedColumnFormula>
    </tableColumn>
    <tableColumn id="12" xr3:uid="{00000000-0010-0000-0000-00000C000000}" name="Budget USD" dataDxfId="6">
      <calculatedColumnFormula>IF(Movies[[#This Row],[currency]]="INR",Movies[[#This Row],[budget(Min)]]/8,Movies[[#This Row],[budget(Min)]])</calculatedColumnFormula>
    </tableColumn>
    <tableColumn id="13" xr3:uid="{00000000-0010-0000-0000-00000D000000}" name="Revenue USD" dataDxfId="5">
      <calculatedColumnFormula>IF(Movies[[#This Row],[currency]]="INR",Movies[[#This Row],[Revenu(Min)]]/8,Movies[[#This Row],[Revenu(Min)]])</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ancials" displayName="Financials" ref="A1:E41" totalsRowShown="0" headerRowDxfId="3">
  <autoFilter ref="A1:E41" xr:uid="{00000000-0009-0000-0100-000002000000}"/>
  <tableColumns count="5">
    <tableColumn id="1" xr3:uid="{00000000-0010-0000-0100-000001000000}" name="movie_id"/>
    <tableColumn id="2" xr3:uid="{00000000-0010-0000-0100-000002000000}" name="budget"/>
    <tableColumn id="3" xr3:uid="{00000000-0010-0000-0100-000003000000}" name="revenue"/>
    <tableColumn id="4" xr3:uid="{00000000-0010-0000-0100-000004000000}" name="unit"/>
    <tableColumn id="5" xr3:uid="{00000000-0010-0000-0100-000005000000}" nam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ctors" displayName="actors" ref="A1:C68" totalsRowShown="0" headerRowDxfId="2">
  <autoFilter ref="A1:C68" xr:uid="{00000000-0009-0000-0100-000003000000}"/>
  <tableColumns count="3">
    <tableColumn id="1" xr3:uid="{00000000-0010-0000-0200-000001000000}" name="actor_id"/>
    <tableColumn id="2" xr3:uid="{00000000-0010-0000-0200-000002000000}" name="name"/>
    <tableColumn id="3" xr3:uid="{00000000-0010-0000-0200-000003000000}" name="birth_yea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ovieactor" displayName="movieactor" ref="A1:B86" totalsRowShown="0" headerRowDxfId="1">
  <autoFilter ref="A1:B86" xr:uid="{00000000-0009-0000-0100-000004000000}"/>
  <tableColumns count="2">
    <tableColumn id="1" xr3:uid="{00000000-0010-0000-0300-000001000000}" name="movie_id"/>
    <tableColumn id="2" xr3:uid="{00000000-0010-0000-0300-000002000000}" name="actor_i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languages" displayName="languages" ref="A1:B9" totalsRowShown="0" headerRowDxfId="0">
  <autoFilter ref="A1:B9" xr:uid="{00000000-0009-0000-0100-000005000000}"/>
  <tableColumns count="2">
    <tableColumn id="1" xr3:uid="{00000000-0010-0000-0400-000001000000}" name="language_id"/>
    <tableColumn id="2" xr3:uid="{00000000-0010-0000-0400-000002000000}" name="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6B78"/>
    <pageSetUpPr fitToPage="1"/>
  </sheetPr>
  <dimension ref="A1:H19"/>
  <sheetViews>
    <sheetView showGridLines="0" zoomScale="90" workbookViewId="0">
      <pane ySplit="4" topLeftCell="A5" activePane="bottomLeft" state="frozen"/>
      <selection pane="bottomLeft" activeCell="E14" sqref="E14:H17"/>
    </sheetView>
  </sheetViews>
  <sheetFormatPr defaultRowHeight="15"/>
  <cols>
    <col min="1" max="1" width="22" customWidth="1"/>
    <col min="2" max="2" width="18" customWidth="1"/>
    <col min="3" max="4" width="16" customWidth="1"/>
    <col min="5" max="5" width="18" customWidth="1"/>
    <col min="6" max="6" width="16" customWidth="1"/>
    <col min="7" max="7" width="18" customWidth="1"/>
    <col min="8" max="8" width="16" customWidth="1"/>
  </cols>
  <sheetData>
    <row r="1" spans="1:8" ht="27.95" customHeight="1">
      <c r="A1" s="35" t="s">
        <v>0</v>
      </c>
      <c r="B1" s="52"/>
      <c r="C1" s="52"/>
      <c r="D1" s="52"/>
      <c r="E1" s="52"/>
      <c r="F1" s="52"/>
      <c r="G1" s="52"/>
      <c r="H1" s="52"/>
    </row>
    <row r="2" spans="1:8" ht="24" customHeight="1">
      <c r="A2" s="52"/>
      <c r="B2" s="52"/>
      <c r="C2" s="52"/>
      <c r="D2" s="52"/>
      <c r="E2" s="52"/>
      <c r="F2" s="52"/>
      <c r="G2" s="52"/>
      <c r="H2" s="52"/>
    </row>
    <row r="3" spans="1:8" ht="26.1" customHeight="1">
      <c r="A3" s="33" t="s">
        <v>1</v>
      </c>
      <c r="B3" s="52"/>
      <c r="C3" s="52"/>
      <c r="D3" s="52"/>
      <c r="E3" s="52"/>
      <c r="F3" s="52"/>
      <c r="G3" s="52"/>
      <c r="H3" s="52"/>
    </row>
    <row r="5" spans="1:8" ht="29.1" customHeight="1">
      <c r="A5" s="30" t="s">
        <v>2</v>
      </c>
      <c r="B5" s="52"/>
      <c r="C5" s="30" t="s">
        <v>3</v>
      </c>
      <c r="D5" s="52"/>
      <c r="E5" s="30" t="s">
        <v>4</v>
      </c>
      <c r="F5" s="52"/>
      <c r="G5" s="30" t="s">
        <v>5</v>
      </c>
      <c r="H5" s="52"/>
    </row>
    <row r="6" spans="1:8" ht="24" customHeight="1">
      <c r="A6" s="37">
        <f>COUNTA(Movies[title])</f>
        <v>39</v>
      </c>
      <c r="B6" s="52"/>
      <c r="C6" s="34">
        <f>AVERAGE(Movies[imdb_rating])</f>
        <v>7.9473684210526319</v>
      </c>
      <c r="D6" s="52"/>
      <c r="E6" s="28">
        <f>SUM(Movies[Revenue USD])</f>
        <v>28691.525000000001</v>
      </c>
      <c r="F6" s="52"/>
      <c r="G6" s="28">
        <f>SUM(Movies[Budget USD])</f>
        <v>5398.33</v>
      </c>
      <c r="H6" s="52"/>
    </row>
    <row r="7" spans="1:8" ht="24" customHeight="1">
      <c r="A7" s="52"/>
      <c r="B7" s="52"/>
      <c r="C7" s="52"/>
      <c r="D7" s="52"/>
      <c r="E7" s="52"/>
      <c r="F7" s="52"/>
      <c r="G7" s="52"/>
      <c r="H7" s="52"/>
    </row>
    <row r="9" spans="1:8" ht="26.1" customHeight="1">
      <c r="A9" s="26" t="s">
        <v>6</v>
      </c>
      <c r="B9" s="52"/>
      <c r="C9" s="52"/>
      <c r="D9" s="52"/>
      <c r="E9" s="52"/>
      <c r="F9" s="52"/>
      <c r="G9" s="52"/>
      <c r="H9" s="52"/>
    </row>
    <row r="10" spans="1:8" ht="30" customHeight="1">
      <c r="A10" s="32" t="s">
        <v>7</v>
      </c>
      <c r="B10" s="52"/>
      <c r="C10" s="52"/>
      <c r="D10" s="52"/>
      <c r="E10" s="52"/>
      <c r="F10" s="52"/>
      <c r="G10" s="52"/>
      <c r="H10" s="52"/>
    </row>
    <row r="11" spans="1:8" ht="24.95" customHeight="1">
      <c r="A11" s="52"/>
      <c r="B11" s="52"/>
      <c r="C11" s="52"/>
      <c r="D11" s="52"/>
      <c r="E11" s="52"/>
      <c r="F11" s="52"/>
      <c r="G11" s="52"/>
      <c r="H11" s="52"/>
    </row>
    <row r="13" spans="1:8">
      <c r="A13" s="53" t="s">
        <v>8</v>
      </c>
      <c r="B13" s="52"/>
      <c r="C13" s="52"/>
      <c r="D13" s="52"/>
      <c r="E13" s="53" t="s">
        <v>9</v>
      </c>
      <c r="F13" s="52"/>
      <c r="G13" s="52"/>
      <c r="H13" s="52"/>
    </row>
    <row r="14" spans="1:8" ht="27.95" customHeight="1">
      <c r="A14" s="1" t="s">
        <v>10</v>
      </c>
      <c r="B14" s="27" t="s">
        <v>11</v>
      </c>
      <c r="C14" s="54"/>
      <c r="D14" s="54"/>
      <c r="E14" s="29" t="s">
        <v>12</v>
      </c>
      <c r="F14" s="52"/>
      <c r="G14" s="52"/>
      <c r="H14" s="52"/>
    </row>
    <row r="15" spans="1:8" ht="27.95" customHeight="1">
      <c r="A15" s="2" t="s">
        <v>13</v>
      </c>
      <c r="B15" s="31" t="s">
        <v>14</v>
      </c>
      <c r="C15" s="55"/>
      <c r="D15" s="55"/>
      <c r="E15" s="52"/>
      <c r="F15" s="52"/>
      <c r="G15" s="52"/>
      <c r="H15" s="52"/>
    </row>
    <row r="16" spans="1:8" ht="27.95" customHeight="1">
      <c r="A16" s="1" t="s">
        <v>15</v>
      </c>
      <c r="B16" s="27" t="s">
        <v>16</v>
      </c>
      <c r="C16" s="54"/>
      <c r="D16" s="54"/>
      <c r="E16" s="52"/>
      <c r="F16" s="52"/>
      <c r="G16" s="52"/>
      <c r="H16" s="52"/>
    </row>
    <row r="17" spans="1:8" ht="27.95" customHeight="1">
      <c r="A17" s="2" t="s">
        <v>17</v>
      </c>
      <c r="B17" s="31" t="s">
        <v>18</v>
      </c>
      <c r="C17" s="55"/>
      <c r="D17" s="55"/>
      <c r="E17" s="52"/>
      <c r="F17" s="52"/>
      <c r="G17" s="52"/>
      <c r="H17" s="52"/>
    </row>
    <row r="18" spans="1:8" ht="27.95" customHeight="1">
      <c r="A18" s="1" t="s">
        <v>19</v>
      </c>
      <c r="B18" s="27" t="s">
        <v>20</v>
      </c>
      <c r="C18" s="54"/>
      <c r="D18" s="54"/>
      <c r="E18" s="36" t="s">
        <v>21</v>
      </c>
      <c r="F18" s="52"/>
      <c r="G18" s="52"/>
      <c r="H18" s="52"/>
    </row>
    <row r="19" spans="1:8" ht="27.95" customHeight="1">
      <c r="A19" s="2" t="s">
        <v>22</v>
      </c>
      <c r="B19" s="31" t="s">
        <v>23</v>
      </c>
      <c r="C19" s="55"/>
      <c r="D19" s="55"/>
      <c r="E19" s="52"/>
      <c r="F19" s="52"/>
      <c r="G19" s="52"/>
      <c r="H19" s="52"/>
    </row>
  </sheetData>
  <mergeCells count="22">
    <mergeCell ref="A3:H3"/>
    <mergeCell ref="C6:D7"/>
    <mergeCell ref="A5:B5"/>
    <mergeCell ref="G5:H5"/>
    <mergeCell ref="A1:H2"/>
    <mergeCell ref="A6:B7"/>
    <mergeCell ref="C5:D5"/>
    <mergeCell ref="B17:D17"/>
    <mergeCell ref="E5:F5"/>
    <mergeCell ref="A13:D13"/>
    <mergeCell ref="B19:D19"/>
    <mergeCell ref="A10:H11"/>
    <mergeCell ref="B15:D15"/>
    <mergeCell ref="B16:D16"/>
    <mergeCell ref="E13:H13"/>
    <mergeCell ref="E18:H19"/>
    <mergeCell ref="B18:D18"/>
    <mergeCell ref="A9:H9"/>
    <mergeCell ref="B14:D14"/>
    <mergeCell ref="E6:F7"/>
    <mergeCell ref="E14:H17"/>
    <mergeCell ref="G6:H7"/>
  </mergeCell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pageSetUpPr fitToPage="1"/>
  </sheetPr>
  <dimension ref="A1:Q49"/>
  <sheetViews>
    <sheetView showGridLines="0" tabSelected="1" zoomScale="90" zoomScaleNormal="48" workbookViewId="0">
      <pane ySplit="1" topLeftCell="A14" activePane="bottomLeft" state="frozen"/>
      <selection pane="bottomLeft" activeCell="M47" sqref="M47:M48"/>
    </sheetView>
  </sheetViews>
  <sheetFormatPr defaultRowHeight="14.45"/>
  <cols>
    <col min="1" max="1" width="11" customWidth="1"/>
    <col min="2" max="2" width="46" customWidth="1"/>
    <col min="3" max="3" width="11" bestFit="1" customWidth="1"/>
    <col min="4" max="4" width="14" customWidth="1"/>
    <col min="5" max="5" width="13" bestFit="1" customWidth="1"/>
    <col min="6" max="6" width="24" customWidth="1"/>
    <col min="7" max="7" width="13" customWidth="1"/>
    <col min="8" max="9" width="15" customWidth="1"/>
    <col min="10" max="10" width="11" customWidth="1"/>
    <col min="11" max="11" width="11" bestFit="1" customWidth="1"/>
    <col min="12" max="12" width="15" bestFit="1" customWidth="1"/>
    <col min="13" max="13" width="15" customWidth="1"/>
    <col min="14" max="17" width="15" bestFit="1" customWidth="1"/>
  </cols>
  <sheetData>
    <row r="1" spans="1:17" ht="32.1" customHeight="1">
      <c r="A1" s="3" t="s">
        <v>24</v>
      </c>
      <c r="B1" s="3" t="s">
        <v>25</v>
      </c>
      <c r="C1" s="3" t="s">
        <v>26</v>
      </c>
      <c r="D1" s="3" t="s">
        <v>27</v>
      </c>
      <c r="E1" s="3" t="s">
        <v>28</v>
      </c>
      <c r="F1" s="3" t="s">
        <v>29</v>
      </c>
      <c r="G1" s="3" t="s">
        <v>30</v>
      </c>
      <c r="H1" s="3" t="s">
        <v>31</v>
      </c>
      <c r="I1" s="3" t="s">
        <v>32</v>
      </c>
      <c r="J1" s="3" t="s">
        <v>33</v>
      </c>
      <c r="K1" s="3" t="s">
        <v>34</v>
      </c>
      <c r="L1" s="3" t="s">
        <v>35</v>
      </c>
      <c r="M1" s="3" t="s">
        <v>36</v>
      </c>
      <c r="N1" s="3" t="s">
        <v>37</v>
      </c>
      <c r="O1" s="3" t="s">
        <v>38</v>
      </c>
      <c r="P1" s="3" t="s">
        <v>39</v>
      </c>
      <c r="Q1" s="3" t="s">
        <v>40</v>
      </c>
    </row>
    <row r="2" spans="1:17">
      <c r="A2" s="4">
        <v>101</v>
      </c>
      <c r="B2" s="4" t="s">
        <v>41</v>
      </c>
      <c r="C2" s="4" t="s">
        <v>42</v>
      </c>
      <c r="D2" s="4">
        <v>2022</v>
      </c>
      <c r="E2" s="5">
        <v>8.4</v>
      </c>
      <c r="F2" s="4" t="s">
        <v>43</v>
      </c>
      <c r="G2" s="4">
        <v>3</v>
      </c>
      <c r="H2" s="6">
        <f t="array" ref="H2">_xlfn.XLOOKUP(Movies[[#This Row],[movie_id]:[movie_id]],Financials[[#All],[movie_id]:[movie_id]],Financials[[#All],[budget]],"Not Available",0)</f>
        <v>1</v>
      </c>
      <c r="I2" s="6">
        <f t="array" ref="I2">_xlfn.XLOOKUP(Movies[[#This Row],[movie_id]:[movie_id]],Financials[[#All],[movie_id]:[movie_id]],Financials[[#All],[revenue]],"Not Available",0)</f>
        <v>12.5</v>
      </c>
      <c r="J2" s="6" t="str">
        <f t="array" ref="J2">_xlfn.XLOOKUP(Movies[[#This Row],[movie_id]:[movie_id]],Financials[[#All],[movie_id]:[movie_id]],Financials[[#All],[unit]],"Not Available",0)</f>
        <v>Billions</v>
      </c>
      <c r="K2" s="6" t="str">
        <f t="array" ref="K2">_xlfn.XLOOKUP(Movies[[#This Row],[movie_id]:[movie_id]],Financials[[#All],[movie_id]:[movie_id]],Financials[[#All],[currency]],"Not Available",0)</f>
        <v>INR</v>
      </c>
      <c r="L2" s="6">
        <f>IF(Movies[[#This Row],[unit]]="Billions",Movies[[#This Row],[budget]]*1000,Movies[[#This Row],[budget]])</f>
        <v>1000</v>
      </c>
      <c r="M2" s="6">
        <f>IF(Movies[[#This Row],[unit]]="Billions",Movies[[#This Row],[revenue]]*1000,Movies[[#This Row],[revenue]])</f>
        <v>12500</v>
      </c>
      <c r="N2" s="6">
        <f>IF(Movies[[#This Row],[currency]]="USD",Movies[[#This Row],[budget(Min)]]*80,Movies[[#This Row],[budget(Min)]])</f>
        <v>1000</v>
      </c>
      <c r="O2" s="6">
        <f>IF(Movies[[#This Row],[currency]]="USD",Movies[[#This Row],[Revenu(Min)]]*80,Movies[[#This Row],[Revenu(Min)]])</f>
        <v>12500</v>
      </c>
      <c r="P2" s="6">
        <f>IF(Movies[[#This Row],[currency]]="INR",Movies[[#This Row],[budget(Min)]]/8,Movies[[#This Row],[budget(Min)]])</f>
        <v>125</v>
      </c>
      <c r="Q2" s="6">
        <f>IF(Movies[[#This Row],[currency]]="INR",Movies[[#This Row],[Revenu(Min)]]/8,Movies[[#This Row],[Revenu(Min)]])</f>
        <v>1562.5</v>
      </c>
    </row>
    <row r="3" spans="1:17">
      <c r="A3" s="7">
        <v>102</v>
      </c>
      <c r="B3" s="7" t="s">
        <v>44</v>
      </c>
      <c r="C3" s="7" t="s">
        <v>45</v>
      </c>
      <c r="D3" s="7">
        <v>2022</v>
      </c>
      <c r="E3" s="8">
        <v>7</v>
      </c>
      <c r="F3" s="7" t="s">
        <v>46</v>
      </c>
      <c r="G3" s="7">
        <v>5</v>
      </c>
      <c r="H3" s="9">
        <f t="array" ref="H3">_xlfn.XLOOKUP(Movies[[#This Row],[movie_id]:[movie_id]],Financials[[#All],[movie_id]:[movie_id]],Financials[[#All],[budget]],"Not Available",0)</f>
        <v>200</v>
      </c>
      <c r="I3" s="9">
        <f t="array" ref="I3">_xlfn.XLOOKUP(Movies[[#This Row],[movie_id]:[movie_id]],Financials[[#All],[movie_id]:[movie_id]],Financials[[#All],[revenue]],"Not Available",0)</f>
        <v>954.8</v>
      </c>
      <c r="J3" s="9" t="str">
        <f t="array" ref="J3">_xlfn.XLOOKUP(Movies[[#This Row],[movie_id]:[movie_id]],Financials[[#All],[movie_id]:[movie_id]],Financials[[#All],[unit]],"Not Available",0)</f>
        <v>Millions</v>
      </c>
      <c r="K3" s="9" t="str">
        <f t="array" ref="K3">_xlfn.XLOOKUP(Movies[[#This Row],[movie_id]:[movie_id]],Financials[[#All],[movie_id]:[movie_id]],Financials[[#All],[currency]],"Not Available",0)</f>
        <v>USD</v>
      </c>
      <c r="L3" s="9">
        <f>IF(Movies[[#This Row],[unit]]="Billions",Movies[[#This Row],[budget]]*1000,Movies[[#This Row],[budget]])</f>
        <v>200</v>
      </c>
      <c r="M3" s="9">
        <f>IF(Movies[[#This Row],[unit]]="Billions",Movies[[#This Row],[revenue]]*1000,Movies[[#This Row],[revenue]])</f>
        <v>954.8</v>
      </c>
      <c r="N3" s="9">
        <f>IF(Movies[[#This Row],[currency]]="USD",Movies[[#This Row],[budget(Min)]]*80,Movies[[#This Row],[budget(Min)]])</f>
        <v>16000</v>
      </c>
      <c r="O3" s="9">
        <f>IF(Movies[[#This Row],[currency]]="USD",Movies[[#This Row],[Revenu(Min)]]*80,Movies[[#This Row],[Revenu(Min)]])</f>
        <v>76384</v>
      </c>
      <c r="P3" s="9">
        <f>IF(Movies[[#This Row],[currency]]="INR",Movies[[#This Row],[budget(Min)]]/8,Movies[[#This Row],[budget(Min)]])</f>
        <v>200</v>
      </c>
      <c r="Q3" s="9">
        <f>IF(Movies[[#This Row],[currency]]="INR",Movies[[#This Row],[Revenu(Min)]]/8,Movies[[#This Row],[Revenu(Min)]])</f>
        <v>954.8</v>
      </c>
    </row>
    <row r="4" spans="1:17">
      <c r="A4" s="4">
        <v>103</v>
      </c>
      <c r="B4" s="4" t="s">
        <v>47</v>
      </c>
      <c r="C4" s="4" t="s">
        <v>45</v>
      </c>
      <c r="D4" s="4">
        <v>2013</v>
      </c>
      <c r="E4" s="5">
        <v>6.8</v>
      </c>
      <c r="F4" s="4" t="s">
        <v>46</v>
      </c>
      <c r="G4" s="4">
        <v>5</v>
      </c>
      <c r="H4" s="6">
        <f t="array" ref="H4">_xlfn.XLOOKUP(Movies[[#This Row],[movie_id]:[movie_id]],Financials[[#All],[movie_id]:[movie_id]],Financials[[#All],[budget]],"Not Available",0)</f>
        <v>165</v>
      </c>
      <c r="I4" s="6">
        <f t="array" ref="I4">_xlfn.XLOOKUP(Movies[[#This Row],[movie_id]:[movie_id]],Financials[[#All],[movie_id]:[movie_id]],Financials[[#All],[revenue]],"Not Available",0)</f>
        <v>644.79999999999995</v>
      </c>
      <c r="J4" s="6" t="str">
        <f t="array" ref="J4">_xlfn.XLOOKUP(Movies[[#This Row],[movie_id]:[movie_id]],Financials[[#All],[movie_id]:[movie_id]],Financials[[#All],[unit]],"Not Available",0)</f>
        <v>Millions</v>
      </c>
      <c r="K4" s="6" t="str">
        <f t="array" ref="K4">_xlfn.XLOOKUP(Movies[[#This Row],[movie_id]:[movie_id]],Financials[[#All],[movie_id]:[movie_id]],Financials[[#All],[currency]],"Not Available",0)</f>
        <v>USD</v>
      </c>
      <c r="L4" s="6">
        <f>IF(Movies[[#This Row],[unit]]="Billions",Movies[[#This Row],[budget]]*1000,Movies[[#This Row],[budget]])</f>
        <v>165</v>
      </c>
      <c r="M4" s="6">
        <f>IF(Movies[[#This Row],[unit]]="Billions",Movies[[#This Row],[revenue]]*1000,Movies[[#This Row],[revenue]])</f>
        <v>644.79999999999995</v>
      </c>
      <c r="N4" s="6">
        <f>IF(Movies[[#This Row],[currency]]="USD",Movies[[#This Row],[budget(Min)]]*80,Movies[[#This Row],[budget(Min)]])</f>
        <v>13200</v>
      </c>
      <c r="O4" s="6">
        <f>IF(Movies[[#This Row],[currency]]="USD",Movies[[#This Row],[Revenu(Min)]]*80,Movies[[#This Row],[Revenu(Min)]])</f>
        <v>51584</v>
      </c>
      <c r="P4" s="6">
        <f>IF(Movies[[#This Row],[currency]]="INR",Movies[[#This Row],[budget(Min)]]/8,Movies[[#This Row],[budget(Min)]])</f>
        <v>165</v>
      </c>
      <c r="Q4" s="6">
        <f>IF(Movies[[#This Row],[currency]]="INR",Movies[[#This Row],[Revenu(Min)]]/8,Movies[[#This Row],[Revenu(Min)]])</f>
        <v>644.79999999999995</v>
      </c>
    </row>
    <row r="5" spans="1:17">
      <c r="A5" s="7">
        <v>104</v>
      </c>
      <c r="B5" s="7" t="s">
        <v>48</v>
      </c>
      <c r="C5" s="7" t="s">
        <v>45</v>
      </c>
      <c r="D5" s="7">
        <v>2017</v>
      </c>
      <c r="E5" s="8">
        <v>7.9</v>
      </c>
      <c r="F5" s="7" t="s">
        <v>46</v>
      </c>
      <c r="G5" s="7">
        <v>5</v>
      </c>
      <c r="H5" s="9">
        <f t="array" ref="H5">_xlfn.XLOOKUP(Movies[[#This Row],[movie_id]:[movie_id]],Financials[[#All],[movie_id]:[movie_id]],Financials[[#All],[budget]],"Not Available",0)</f>
        <v>180</v>
      </c>
      <c r="I5" s="9">
        <f t="array" ref="I5">_xlfn.XLOOKUP(Movies[[#This Row],[movie_id]:[movie_id]],Financials[[#All],[movie_id]:[movie_id]],Financials[[#All],[revenue]],"Not Available",0)</f>
        <v>854</v>
      </c>
      <c r="J5" s="9" t="str">
        <f t="array" ref="J5">_xlfn.XLOOKUP(Movies[[#This Row],[movie_id]:[movie_id]],Financials[[#All],[movie_id]:[movie_id]],Financials[[#All],[unit]],"Not Available",0)</f>
        <v>Millions</v>
      </c>
      <c r="K5" s="9" t="str">
        <f t="array" ref="K5">_xlfn.XLOOKUP(Movies[[#This Row],[movie_id]:[movie_id]],Financials[[#All],[movie_id]:[movie_id]],Financials[[#All],[currency]],"Not Available",0)</f>
        <v>USD</v>
      </c>
      <c r="L5" s="9">
        <f>IF(Movies[[#This Row],[unit]]="Billions",Movies[[#This Row],[budget]]*1000,Movies[[#This Row],[budget]])</f>
        <v>180</v>
      </c>
      <c r="M5" s="9">
        <f>IF(Movies[[#This Row],[unit]]="Billions",Movies[[#This Row],[revenue]]*1000,Movies[[#This Row],[revenue]])</f>
        <v>854</v>
      </c>
      <c r="N5" s="9">
        <f>IF(Movies[[#This Row],[currency]]="USD",Movies[[#This Row],[budget(Min)]]*80,Movies[[#This Row],[budget(Min)]])</f>
        <v>14400</v>
      </c>
      <c r="O5" s="9">
        <f>IF(Movies[[#This Row],[currency]]="USD",Movies[[#This Row],[Revenu(Min)]]*80,Movies[[#This Row],[Revenu(Min)]])</f>
        <v>68320</v>
      </c>
      <c r="P5" s="9">
        <f>IF(Movies[[#This Row],[currency]]="INR",Movies[[#This Row],[budget(Min)]]/8,Movies[[#This Row],[budget(Min)]])</f>
        <v>180</v>
      </c>
      <c r="Q5" s="9">
        <f>IF(Movies[[#This Row],[currency]]="INR",Movies[[#This Row],[Revenu(Min)]]/8,Movies[[#This Row],[Revenu(Min)]])</f>
        <v>854</v>
      </c>
    </row>
    <row r="6" spans="1:17">
      <c r="A6" s="4">
        <v>105</v>
      </c>
      <c r="B6" s="4" t="s">
        <v>49</v>
      </c>
      <c r="C6" s="4" t="s">
        <v>45</v>
      </c>
      <c r="D6" s="4">
        <v>2022</v>
      </c>
      <c r="E6" s="5">
        <v>6.8</v>
      </c>
      <c r="F6" s="4" t="s">
        <v>46</v>
      </c>
      <c r="G6" s="4">
        <v>5</v>
      </c>
      <c r="H6" s="6">
        <f t="array" ref="H6">_xlfn.XLOOKUP(Movies[[#This Row],[movie_id]:[movie_id]],Financials[[#All],[movie_id]:[movie_id]],Financials[[#All],[budget]],"Not Available",0)</f>
        <v>250</v>
      </c>
      <c r="I6" s="6">
        <f t="array" ref="I6">_xlfn.XLOOKUP(Movies[[#This Row],[movie_id]:[movie_id]],Financials[[#All],[movie_id]:[movie_id]],Financials[[#All],[revenue]],"Not Available",0)</f>
        <v>670</v>
      </c>
      <c r="J6" s="6" t="str">
        <f t="array" ref="J6">_xlfn.XLOOKUP(Movies[[#This Row],[movie_id]:[movie_id]],Financials[[#All],[movie_id]:[movie_id]],Financials[[#All],[unit]],"Not Available",0)</f>
        <v>Millions</v>
      </c>
      <c r="K6" s="6" t="str">
        <f t="array" ref="K6">_xlfn.XLOOKUP(Movies[[#This Row],[movie_id]:[movie_id]],Financials[[#All],[movie_id]:[movie_id]],Financials[[#All],[currency]],"Not Available",0)</f>
        <v>USD</v>
      </c>
      <c r="L6" s="6">
        <f>IF(Movies[[#This Row],[unit]]="Billions",Movies[[#This Row],[budget]]*1000,Movies[[#This Row],[budget]])</f>
        <v>250</v>
      </c>
      <c r="M6" s="6">
        <f>IF(Movies[[#This Row],[unit]]="Billions",Movies[[#This Row],[revenue]]*1000,Movies[[#This Row],[revenue]])</f>
        <v>670</v>
      </c>
      <c r="N6" s="6">
        <f>IF(Movies[[#This Row],[currency]]="USD",Movies[[#This Row],[budget(Min)]]*80,Movies[[#This Row],[budget(Min)]])</f>
        <v>20000</v>
      </c>
      <c r="O6" s="6">
        <f>IF(Movies[[#This Row],[currency]]="USD",Movies[[#This Row],[Revenu(Min)]]*80,Movies[[#This Row],[Revenu(Min)]])</f>
        <v>53600</v>
      </c>
      <c r="P6" s="6">
        <f>IF(Movies[[#This Row],[currency]]="INR",Movies[[#This Row],[budget(Min)]]/8,Movies[[#This Row],[budget(Min)]])</f>
        <v>250</v>
      </c>
      <c r="Q6" s="6">
        <f>IF(Movies[[#This Row],[currency]]="INR",Movies[[#This Row],[Revenu(Min)]]/8,Movies[[#This Row],[Revenu(Min)]])</f>
        <v>670</v>
      </c>
    </row>
    <row r="7" spans="1:17">
      <c r="A7" s="7">
        <v>106</v>
      </c>
      <c r="B7" s="7" t="s">
        <v>50</v>
      </c>
      <c r="C7" s="7" t="s">
        <v>42</v>
      </c>
      <c r="D7" s="7">
        <v>1975</v>
      </c>
      <c r="E7" s="8">
        <v>8.1</v>
      </c>
      <c r="F7" s="7" t="s">
        <v>51</v>
      </c>
      <c r="G7" s="7">
        <v>1</v>
      </c>
      <c r="H7" s="9" t="str">
        <f t="array" ref="H7">_xlfn.XLOOKUP(Movies[[#This Row],[movie_id]:[movie_id]],Financials[[#All],[movie_id]:[movie_id]],Financials[[#All],[budget]],"Not Available",0)</f>
        <v>Not Available</v>
      </c>
      <c r="I7" s="9" t="str">
        <f t="array" ref="I7">_xlfn.XLOOKUP(Movies[[#This Row],[movie_id]:[movie_id]],Financials[[#All],[movie_id]:[movie_id]],Financials[[#All],[revenue]],"Not Available",0)</f>
        <v>Not Available</v>
      </c>
      <c r="J7" s="9" t="str">
        <f t="array" ref="J7">_xlfn.XLOOKUP(Movies[[#This Row],[movie_id]:[movie_id]],Financials[[#All],[movie_id]:[movie_id]],Financials[[#All],[unit]],"Not Available",0)</f>
        <v>Not Available</v>
      </c>
      <c r="K7" s="9" t="str">
        <f t="array" ref="K7">_xlfn.XLOOKUP(Movies[[#This Row],[movie_id]:[movie_id]],Financials[[#All],[movie_id]:[movie_id]],Financials[[#All],[currency]],"Not Available",0)</f>
        <v>Not Available</v>
      </c>
      <c r="L7" s="9" t="str">
        <f>IF(Movies[[#This Row],[unit]]="Billions",Movies[[#This Row],[budget]]*1000,Movies[[#This Row],[budget]])</f>
        <v>Not Available</v>
      </c>
      <c r="M7" s="9" t="str">
        <f>IF(Movies[[#This Row],[unit]]="Billions",Movies[[#This Row],[revenue]]*1000,Movies[[#This Row],[revenue]])</f>
        <v>Not Available</v>
      </c>
      <c r="N7" s="9" t="str">
        <f>IF(Movies[[#This Row],[currency]]="USD",Movies[[#This Row],[budget(Min)]]*80,Movies[[#This Row],[budget(Min)]])</f>
        <v>Not Available</v>
      </c>
      <c r="O7" s="9" t="str">
        <f>IF(Movies[[#This Row],[currency]]="USD",Movies[[#This Row],[Revenu(Min)]]*80,Movies[[#This Row],[Revenu(Min)]])</f>
        <v>Not Available</v>
      </c>
      <c r="P7" s="9" t="str">
        <f>IF(Movies[[#This Row],[currency]]="INR",Movies[[#This Row],[budget(Min)]]/8,Movies[[#This Row],[budget(Min)]])</f>
        <v>Not Available</v>
      </c>
      <c r="Q7" s="9" t="str">
        <f>IF(Movies[[#This Row],[currency]]="INR",Movies[[#This Row],[Revenu(Min)]]/8,Movies[[#This Row],[Revenu(Min)]])</f>
        <v>Not Available</v>
      </c>
    </row>
    <row r="8" spans="1:17">
      <c r="A8" s="4">
        <v>107</v>
      </c>
      <c r="B8" s="4" t="s">
        <v>52</v>
      </c>
      <c r="C8" s="4" t="s">
        <v>42</v>
      </c>
      <c r="D8" s="4">
        <v>1995</v>
      </c>
      <c r="E8" s="5">
        <v>8</v>
      </c>
      <c r="F8" s="4" t="s">
        <v>53</v>
      </c>
      <c r="G8" s="4">
        <v>1</v>
      </c>
      <c r="H8" s="6">
        <f t="array" ref="H8">_xlfn.XLOOKUP(Movies[[#This Row],[movie_id]:[movie_id]],Financials[[#All],[movie_id]:[movie_id]],Financials[[#All],[budget]],"Not Available",0)</f>
        <v>400</v>
      </c>
      <c r="I8" s="6">
        <f t="array" ref="I8">_xlfn.XLOOKUP(Movies[[#This Row],[movie_id]:[movie_id]],Financials[[#All],[movie_id]:[movie_id]],Financials[[#All],[revenue]],"Not Available",0)</f>
        <v>2000</v>
      </c>
      <c r="J8" s="6" t="str">
        <f t="array" ref="J8">_xlfn.XLOOKUP(Movies[[#This Row],[movie_id]:[movie_id]],Financials[[#All],[movie_id]:[movie_id]],Financials[[#All],[unit]],"Not Available",0)</f>
        <v>Millions</v>
      </c>
      <c r="K8" s="6" t="str">
        <f t="array" ref="K8">_xlfn.XLOOKUP(Movies[[#This Row],[movie_id]:[movie_id]],Financials[[#All],[movie_id]:[movie_id]],Financials[[#All],[currency]],"Not Available",0)</f>
        <v>INR</v>
      </c>
      <c r="L8" s="6">
        <f>IF(Movies[[#This Row],[unit]]="Billions",Movies[[#This Row],[budget]]*1000,Movies[[#This Row],[budget]])</f>
        <v>400</v>
      </c>
      <c r="M8" s="6">
        <f>IF(Movies[[#This Row],[unit]]="Billions",Movies[[#This Row],[revenue]]*1000,Movies[[#This Row],[revenue]])</f>
        <v>2000</v>
      </c>
      <c r="N8" s="6">
        <f>IF(Movies[[#This Row],[currency]]="USD",Movies[[#This Row],[budget(Min)]]*80,Movies[[#This Row],[budget(Min)]])</f>
        <v>400</v>
      </c>
      <c r="O8" s="6">
        <f>IF(Movies[[#This Row],[currency]]="USD",Movies[[#This Row],[Revenu(Min)]]*80,Movies[[#This Row],[Revenu(Min)]])</f>
        <v>2000</v>
      </c>
      <c r="P8" s="6">
        <f>IF(Movies[[#This Row],[currency]]="INR",Movies[[#This Row],[budget(Min)]]/8,Movies[[#This Row],[budget(Min)]])</f>
        <v>50</v>
      </c>
      <c r="Q8" s="6">
        <f>IF(Movies[[#This Row],[currency]]="INR",Movies[[#This Row],[Revenu(Min)]]/8,Movies[[#This Row],[Revenu(Min)]])</f>
        <v>250</v>
      </c>
    </row>
    <row r="9" spans="1:17">
      <c r="A9" s="7">
        <v>108</v>
      </c>
      <c r="B9" s="7" t="s">
        <v>54</v>
      </c>
      <c r="C9" s="7" t="s">
        <v>42</v>
      </c>
      <c r="D9" s="7">
        <v>2009</v>
      </c>
      <c r="E9" s="8">
        <v>8.4</v>
      </c>
      <c r="F9" s="7" t="s">
        <v>55</v>
      </c>
      <c r="G9" s="7">
        <v>1</v>
      </c>
      <c r="H9" s="9">
        <f t="array" ref="H9">_xlfn.XLOOKUP(Movies[[#This Row],[movie_id]:[movie_id]],Financials[[#All],[movie_id]:[movie_id]],Financials[[#All],[budget]],"Not Available",0)</f>
        <v>550</v>
      </c>
      <c r="I9" s="9">
        <f t="array" ref="I9">_xlfn.XLOOKUP(Movies[[#This Row],[movie_id]:[movie_id]],Financials[[#All],[movie_id]:[movie_id]],Financials[[#All],[revenue]],"Not Available",0)</f>
        <v>4000</v>
      </c>
      <c r="J9" s="9" t="str">
        <f t="array" ref="J9">_xlfn.XLOOKUP(Movies[[#This Row],[movie_id]:[movie_id]],Financials[[#All],[movie_id]:[movie_id]],Financials[[#All],[unit]],"Not Available",0)</f>
        <v>Millions</v>
      </c>
      <c r="K9" s="9" t="str">
        <f t="array" ref="K9">_xlfn.XLOOKUP(Movies[[#This Row],[movie_id]:[movie_id]],Financials[[#All],[movie_id]:[movie_id]],Financials[[#All],[currency]],"Not Available",0)</f>
        <v>INR</v>
      </c>
      <c r="L9" s="9">
        <f>IF(Movies[[#This Row],[unit]]="Billions",Movies[[#This Row],[budget]]*1000,Movies[[#This Row],[budget]])</f>
        <v>550</v>
      </c>
      <c r="M9" s="9">
        <f>IF(Movies[[#This Row],[unit]]="Billions",Movies[[#This Row],[revenue]]*1000,Movies[[#This Row],[revenue]])</f>
        <v>4000</v>
      </c>
      <c r="N9" s="9">
        <f>IF(Movies[[#This Row],[currency]]="USD",Movies[[#This Row],[budget(Min)]]*80,Movies[[#This Row],[budget(Min)]])</f>
        <v>550</v>
      </c>
      <c r="O9" s="9">
        <f>IF(Movies[[#This Row],[currency]]="USD",Movies[[#This Row],[Revenu(Min)]]*80,Movies[[#This Row],[Revenu(Min)]])</f>
        <v>4000</v>
      </c>
      <c r="P9" s="9">
        <f>IF(Movies[[#This Row],[currency]]="INR",Movies[[#This Row],[budget(Min)]]/8,Movies[[#This Row],[budget(Min)]])</f>
        <v>68.75</v>
      </c>
      <c r="Q9" s="9">
        <f>IF(Movies[[#This Row],[currency]]="INR",Movies[[#This Row],[Revenu(Min)]]/8,Movies[[#This Row],[Revenu(Min)]])</f>
        <v>500</v>
      </c>
    </row>
    <row r="10" spans="1:17">
      <c r="A10" s="4">
        <v>109</v>
      </c>
      <c r="B10" s="4" t="s">
        <v>56</v>
      </c>
      <c r="C10" s="4" t="s">
        <v>42</v>
      </c>
      <c r="D10" s="4">
        <v>2001</v>
      </c>
      <c r="E10" s="5">
        <v>7.4</v>
      </c>
      <c r="F10" s="4" t="s">
        <v>57</v>
      </c>
      <c r="G10" s="4">
        <v>1</v>
      </c>
      <c r="H10" s="6">
        <f t="array" ref="H10">_xlfn.XLOOKUP(Movies[[#This Row],[movie_id]:[movie_id]],Financials[[#All],[movie_id]:[movie_id]],Financials[[#All],[budget]],"Not Available",0)</f>
        <v>390</v>
      </c>
      <c r="I10" s="6">
        <f t="array" ref="I10">_xlfn.XLOOKUP(Movies[[#This Row],[movie_id]:[movie_id]],Financials[[#All],[movie_id]:[movie_id]],Financials[[#All],[revenue]],"Not Available",0)</f>
        <v>1360</v>
      </c>
      <c r="J10" s="6" t="str">
        <f t="array" ref="J10">_xlfn.XLOOKUP(Movies[[#This Row],[movie_id]:[movie_id]],Financials[[#All],[movie_id]:[movie_id]],Financials[[#All],[unit]],"Not Available",0)</f>
        <v>Millions</v>
      </c>
      <c r="K10" s="6" t="str">
        <f t="array" ref="K10">_xlfn.XLOOKUP(Movies[[#This Row],[movie_id]:[movie_id]],Financials[[#All],[movie_id]:[movie_id]],Financials[[#All],[currency]],"Not Available",0)</f>
        <v>INR</v>
      </c>
      <c r="L10" s="6">
        <f>IF(Movies[[#This Row],[unit]]="Billions",Movies[[#This Row],[budget]]*1000,Movies[[#This Row],[budget]])</f>
        <v>390</v>
      </c>
      <c r="M10" s="6">
        <f>IF(Movies[[#This Row],[unit]]="Billions",Movies[[#This Row],[revenue]]*1000,Movies[[#This Row],[revenue]])</f>
        <v>1360</v>
      </c>
      <c r="N10" s="6">
        <f>IF(Movies[[#This Row],[currency]]="USD",Movies[[#This Row],[budget(Min)]]*80,Movies[[#This Row],[budget(Min)]])</f>
        <v>390</v>
      </c>
      <c r="O10" s="6">
        <f>IF(Movies[[#This Row],[currency]]="USD",Movies[[#This Row],[Revenu(Min)]]*80,Movies[[#This Row],[Revenu(Min)]])</f>
        <v>1360</v>
      </c>
      <c r="P10" s="6">
        <f>IF(Movies[[#This Row],[currency]]="INR",Movies[[#This Row],[budget(Min)]]/8,Movies[[#This Row],[budget(Min)]])</f>
        <v>48.75</v>
      </c>
      <c r="Q10" s="6">
        <f>IF(Movies[[#This Row],[currency]]="INR",Movies[[#This Row],[Revenu(Min)]]/8,Movies[[#This Row],[Revenu(Min)]])</f>
        <v>170</v>
      </c>
    </row>
    <row r="11" spans="1:17">
      <c r="A11" s="7">
        <v>110</v>
      </c>
      <c r="B11" s="7" t="s">
        <v>58</v>
      </c>
      <c r="C11" s="7" t="s">
        <v>42</v>
      </c>
      <c r="D11" s="7">
        <v>2015</v>
      </c>
      <c r="E11" s="8">
        <v>7.2</v>
      </c>
      <c r="F11" s="7" t="s">
        <v>59</v>
      </c>
      <c r="G11" s="7">
        <v>1</v>
      </c>
      <c r="H11" s="9">
        <f t="array" ref="H11">_xlfn.XLOOKUP(Movies[[#This Row],[movie_id]:[movie_id]],Financials[[#All],[movie_id]:[movie_id]],Financials[[#All],[budget]],"Not Available",0)</f>
        <v>1.4</v>
      </c>
      <c r="I11" s="9">
        <f t="array" ref="I11">_xlfn.XLOOKUP(Movies[[#This Row],[movie_id]:[movie_id]],Financials[[#All],[movie_id]:[movie_id]],Financials[[#All],[revenue]],"Not Available",0)</f>
        <v>3.5</v>
      </c>
      <c r="J11" s="9" t="str">
        <f t="array" ref="J11">_xlfn.XLOOKUP(Movies[[#This Row],[movie_id]:[movie_id]],Financials[[#All],[movie_id]:[movie_id]],Financials[[#All],[unit]],"Not Available",0)</f>
        <v>Billions</v>
      </c>
      <c r="K11" s="9" t="str">
        <f t="array" ref="K11">_xlfn.XLOOKUP(Movies[[#This Row],[movie_id]:[movie_id]],Financials[[#All],[movie_id]:[movie_id]],Financials[[#All],[currency]],"Not Available",0)</f>
        <v>INR</v>
      </c>
      <c r="L11" s="9">
        <f>IF(Movies[[#This Row],[unit]]="Billions",Movies[[#This Row],[budget]]*1000,Movies[[#This Row],[budget]])</f>
        <v>1400</v>
      </c>
      <c r="M11" s="9">
        <f>IF(Movies[[#This Row],[unit]]="Billions",Movies[[#This Row],[revenue]]*1000,Movies[[#This Row],[revenue]])</f>
        <v>3500</v>
      </c>
      <c r="N11" s="9">
        <f>IF(Movies[[#This Row],[currency]]="USD",Movies[[#This Row],[budget(Min)]]*80,Movies[[#This Row],[budget(Min)]])</f>
        <v>1400</v>
      </c>
      <c r="O11" s="9">
        <f>IF(Movies[[#This Row],[currency]]="USD",Movies[[#This Row],[Revenu(Min)]]*80,Movies[[#This Row],[Revenu(Min)]])</f>
        <v>3500</v>
      </c>
      <c r="P11" s="9">
        <f>IF(Movies[[#This Row],[currency]]="INR",Movies[[#This Row],[budget(Min)]]/8,Movies[[#This Row],[budget(Min)]])</f>
        <v>175</v>
      </c>
      <c r="Q11" s="9">
        <f>IF(Movies[[#This Row],[currency]]="INR",Movies[[#This Row],[Revenu(Min)]]/8,Movies[[#This Row],[Revenu(Min)]])</f>
        <v>437.5</v>
      </c>
    </row>
    <row r="12" spans="1:17">
      <c r="A12" s="4">
        <v>111</v>
      </c>
      <c r="B12" s="4" t="s">
        <v>60</v>
      </c>
      <c r="C12" s="4" t="s">
        <v>45</v>
      </c>
      <c r="D12" s="4">
        <v>1994</v>
      </c>
      <c r="E12" s="5">
        <v>9.3000000000000007</v>
      </c>
      <c r="F12" s="4" t="s">
        <v>61</v>
      </c>
      <c r="G12" s="4">
        <v>5</v>
      </c>
      <c r="H12" s="6">
        <f t="array" ref="H12">_xlfn.XLOOKUP(Movies[[#This Row],[movie_id]:[movie_id]],Financials[[#All],[movie_id]:[movie_id]],Financials[[#All],[budget]],"Not Available",0)</f>
        <v>25</v>
      </c>
      <c r="I12" s="6">
        <f t="array" ref="I12">_xlfn.XLOOKUP(Movies[[#This Row],[movie_id]:[movie_id]],Financials[[#All],[movie_id]:[movie_id]],Financials[[#All],[revenue]],"Not Available",0)</f>
        <v>73.3</v>
      </c>
      <c r="J12" s="6" t="str">
        <f t="array" ref="J12">_xlfn.XLOOKUP(Movies[[#This Row],[movie_id]:[movie_id]],Financials[[#All],[movie_id]:[movie_id]],Financials[[#All],[unit]],"Not Available",0)</f>
        <v>Millions</v>
      </c>
      <c r="K12" s="6" t="str">
        <f t="array" ref="K12">_xlfn.XLOOKUP(Movies[[#This Row],[movie_id]:[movie_id]],Financials[[#All],[movie_id]:[movie_id]],Financials[[#All],[currency]],"Not Available",0)</f>
        <v>USD</v>
      </c>
      <c r="L12" s="6">
        <f>IF(Movies[[#This Row],[unit]]="Billions",Movies[[#This Row],[budget]]*1000,Movies[[#This Row],[budget]])</f>
        <v>25</v>
      </c>
      <c r="M12" s="6">
        <f>IF(Movies[[#This Row],[unit]]="Billions",Movies[[#This Row],[revenue]]*1000,Movies[[#This Row],[revenue]])</f>
        <v>73.3</v>
      </c>
      <c r="N12" s="6">
        <f>IF(Movies[[#This Row],[currency]]="USD",Movies[[#This Row],[budget(Min)]]*80,Movies[[#This Row],[budget(Min)]])</f>
        <v>2000</v>
      </c>
      <c r="O12" s="6">
        <f>IF(Movies[[#This Row],[currency]]="USD",Movies[[#This Row],[Revenu(Min)]]*80,Movies[[#This Row],[Revenu(Min)]])</f>
        <v>5864</v>
      </c>
      <c r="P12" s="6">
        <f>IF(Movies[[#This Row],[currency]]="INR",Movies[[#This Row],[budget(Min)]]/8,Movies[[#This Row],[budget(Min)]])</f>
        <v>25</v>
      </c>
      <c r="Q12" s="6">
        <f>IF(Movies[[#This Row],[currency]]="INR",Movies[[#This Row],[Revenu(Min)]]/8,Movies[[#This Row],[Revenu(Min)]])</f>
        <v>73.3</v>
      </c>
    </row>
    <row r="13" spans="1:17">
      <c r="A13" s="7">
        <v>112</v>
      </c>
      <c r="B13" s="7" t="s">
        <v>62</v>
      </c>
      <c r="C13" s="7" t="s">
        <v>45</v>
      </c>
      <c r="D13" s="7">
        <v>2010</v>
      </c>
      <c r="E13" s="8">
        <v>8.8000000000000007</v>
      </c>
      <c r="F13" s="7" t="s">
        <v>63</v>
      </c>
      <c r="G13" s="7">
        <v>5</v>
      </c>
      <c r="H13" s="9" t="str">
        <f t="array" ref="H13">_xlfn.XLOOKUP(Movies[[#This Row],[movie_id]:[movie_id]],Financials[[#All],[movie_id]:[movie_id]],Financials[[#All],[budget]],"Not Available",0)</f>
        <v>Not Available</v>
      </c>
      <c r="I13" s="9" t="str">
        <f t="array" ref="I13">_xlfn.XLOOKUP(Movies[[#This Row],[movie_id]:[movie_id]],Financials[[#All],[movie_id]:[movie_id]],Financials[[#All],[revenue]],"Not Available",0)</f>
        <v>Not Available</v>
      </c>
      <c r="J13" s="9" t="str">
        <f t="array" ref="J13">_xlfn.XLOOKUP(Movies[[#This Row],[movie_id]:[movie_id]],Financials[[#All],[movie_id]:[movie_id]],Financials[[#All],[unit]],"Not Available",0)</f>
        <v>Not Available</v>
      </c>
      <c r="K13" s="9" t="str">
        <f t="array" ref="K13">_xlfn.XLOOKUP(Movies[[#This Row],[movie_id]:[movie_id]],Financials[[#All],[movie_id]:[movie_id]],Financials[[#All],[currency]],"Not Available",0)</f>
        <v>Not Available</v>
      </c>
      <c r="L13" s="9" t="str">
        <f>IF(Movies[[#This Row],[unit]]="Billions",Movies[[#This Row],[budget]]*1000,Movies[[#This Row],[budget]])</f>
        <v>Not Available</v>
      </c>
      <c r="M13" s="9" t="str">
        <f>IF(Movies[[#This Row],[unit]]="Billions",Movies[[#This Row],[revenue]]*1000,Movies[[#This Row],[revenue]])</f>
        <v>Not Available</v>
      </c>
      <c r="N13" s="9" t="str">
        <f>IF(Movies[[#This Row],[currency]]="USD",Movies[[#This Row],[budget(Min)]]*80,Movies[[#This Row],[budget(Min)]])</f>
        <v>Not Available</v>
      </c>
      <c r="O13" s="9" t="str">
        <f>IF(Movies[[#This Row],[currency]]="USD",Movies[[#This Row],[Revenu(Min)]]*80,Movies[[#This Row],[Revenu(Min)]])</f>
        <v>Not Available</v>
      </c>
      <c r="P13" s="9" t="str">
        <f>IF(Movies[[#This Row],[currency]]="INR",Movies[[#This Row],[budget(Min)]]/8,Movies[[#This Row],[budget(Min)]])</f>
        <v>Not Available</v>
      </c>
      <c r="Q13" s="9" t="str">
        <f>IF(Movies[[#This Row],[currency]]="INR",Movies[[#This Row],[Revenu(Min)]]/8,Movies[[#This Row],[Revenu(Min)]])</f>
        <v>Not Available</v>
      </c>
    </row>
    <row r="14" spans="1:17">
      <c r="A14" s="4">
        <v>113</v>
      </c>
      <c r="B14" s="4" t="s">
        <v>64</v>
      </c>
      <c r="C14" s="4" t="s">
        <v>45</v>
      </c>
      <c r="D14" s="4">
        <v>2014</v>
      </c>
      <c r="E14" s="5">
        <v>8.6</v>
      </c>
      <c r="F14" s="4" t="s">
        <v>63</v>
      </c>
      <c r="G14" s="4">
        <v>5</v>
      </c>
      <c r="H14" s="6">
        <f t="array" ref="H14">_xlfn.XLOOKUP(Movies[[#This Row],[movie_id]:[movie_id]],Financials[[#All],[movie_id]:[movie_id]],Financials[[#All],[budget]],"Not Available",0)</f>
        <v>165</v>
      </c>
      <c r="I14" s="6">
        <f t="array" ref="I14">_xlfn.XLOOKUP(Movies[[#This Row],[movie_id]:[movie_id]],Financials[[#All],[movie_id]:[movie_id]],Financials[[#All],[revenue]],"Not Available",0)</f>
        <v>701.8</v>
      </c>
      <c r="J14" s="6" t="str">
        <f t="array" ref="J14">_xlfn.XLOOKUP(Movies[[#This Row],[movie_id]:[movie_id]],Financials[[#All],[movie_id]:[movie_id]],Financials[[#All],[unit]],"Not Available",0)</f>
        <v>Millions</v>
      </c>
      <c r="K14" s="6" t="str">
        <f t="array" ref="K14">_xlfn.XLOOKUP(Movies[[#This Row],[movie_id]:[movie_id]],Financials[[#All],[movie_id]:[movie_id]],Financials[[#All],[currency]],"Not Available",0)</f>
        <v>USD</v>
      </c>
      <c r="L14" s="6">
        <f>IF(Movies[[#This Row],[unit]]="Billions",Movies[[#This Row],[budget]]*1000,Movies[[#This Row],[budget]])</f>
        <v>165</v>
      </c>
      <c r="M14" s="6">
        <f>IF(Movies[[#This Row],[unit]]="Billions",Movies[[#This Row],[revenue]]*1000,Movies[[#This Row],[revenue]])</f>
        <v>701.8</v>
      </c>
      <c r="N14" s="6">
        <f>IF(Movies[[#This Row],[currency]]="USD",Movies[[#This Row],[budget(Min)]]*80,Movies[[#This Row],[budget(Min)]])</f>
        <v>13200</v>
      </c>
      <c r="O14" s="6">
        <f>IF(Movies[[#This Row],[currency]]="USD",Movies[[#This Row],[Revenu(Min)]]*80,Movies[[#This Row],[Revenu(Min)]])</f>
        <v>56144</v>
      </c>
      <c r="P14" s="6">
        <f>IF(Movies[[#This Row],[currency]]="INR",Movies[[#This Row],[budget(Min)]]/8,Movies[[#This Row],[budget(Min)]])</f>
        <v>165</v>
      </c>
      <c r="Q14" s="6">
        <f>IF(Movies[[#This Row],[currency]]="INR",Movies[[#This Row],[Revenu(Min)]]/8,Movies[[#This Row],[Revenu(Min)]])</f>
        <v>701.8</v>
      </c>
    </row>
    <row r="15" spans="1:17">
      <c r="A15" s="7">
        <v>115</v>
      </c>
      <c r="B15" s="7" t="s">
        <v>65</v>
      </c>
      <c r="C15" s="7" t="s">
        <v>45</v>
      </c>
      <c r="D15" s="7">
        <v>2006</v>
      </c>
      <c r="E15" s="8">
        <v>8</v>
      </c>
      <c r="F15" s="7" t="s">
        <v>66</v>
      </c>
      <c r="G15" s="7">
        <v>5</v>
      </c>
      <c r="H15" s="9">
        <f t="array" ref="H15">_xlfn.XLOOKUP(Movies[[#This Row],[movie_id]:[movie_id]],Financials[[#All],[movie_id]:[movie_id]],Financials[[#All],[budget]],"Not Available",0)</f>
        <v>55</v>
      </c>
      <c r="I15" s="9">
        <f t="array" ref="I15">_xlfn.XLOOKUP(Movies[[#This Row],[movie_id]:[movie_id]],Financials[[#All],[movie_id]:[movie_id]],Financials[[#All],[revenue]],"Not Available",0)</f>
        <v>307.10000000000002</v>
      </c>
      <c r="J15" s="9" t="str">
        <f t="array" ref="J15">_xlfn.XLOOKUP(Movies[[#This Row],[movie_id]:[movie_id]],Financials[[#All],[movie_id]:[movie_id]],Financials[[#All],[unit]],"Not Available",0)</f>
        <v>Millions</v>
      </c>
      <c r="K15" s="9" t="str">
        <f t="array" ref="K15">_xlfn.XLOOKUP(Movies[[#This Row],[movie_id]:[movie_id]],Financials[[#All],[movie_id]:[movie_id]],Financials[[#All],[currency]],"Not Available",0)</f>
        <v>USD</v>
      </c>
      <c r="L15" s="9">
        <f>IF(Movies[[#This Row],[unit]]="Billions",Movies[[#This Row],[budget]]*1000,Movies[[#This Row],[budget]])</f>
        <v>55</v>
      </c>
      <c r="M15" s="9">
        <f>IF(Movies[[#This Row],[unit]]="Billions",Movies[[#This Row],[revenue]]*1000,Movies[[#This Row],[revenue]])</f>
        <v>307.10000000000002</v>
      </c>
      <c r="N15" s="9">
        <f>IF(Movies[[#This Row],[currency]]="USD",Movies[[#This Row],[budget(Min)]]*80,Movies[[#This Row],[budget(Min)]])</f>
        <v>4400</v>
      </c>
      <c r="O15" s="9">
        <f>IF(Movies[[#This Row],[currency]]="USD",Movies[[#This Row],[Revenu(Min)]]*80,Movies[[#This Row],[Revenu(Min)]])</f>
        <v>24568</v>
      </c>
      <c r="P15" s="9">
        <f>IF(Movies[[#This Row],[currency]]="INR",Movies[[#This Row],[budget(Min)]]/8,Movies[[#This Row],[budget(Min)]])</f>
        <v>55</v>
      </c>
      <c r="Q15" s="9">
        <f>IF(Movies[[#This Row],[currency]]="INR",Movies[[#This Row],[Revenu(Min)]]/8,Movies[[#This Row],[Revenu(Min)]])</f>
        <v>307.10000000000002</v>
      </c>
    </row>
    <row r="16" spans="1:17">
      <c r="A16" s="4">
        <v>116</v>
      </c>
      <c r="B16" s="4" t="s">
        <v>67</v>
      </c>
      <c r="C16" s="4" t="s">
        <v>45</v>
      </c>
      <c r="D16" s="4">
        <v>2000</v>
      </c>
      <c r="E16" s="5">
        <v>8.5</v>
      </c>
      <c r="F16" s="4" t="s">
        <v>68</v>
      </c>
      <c r="G16" s="4">
        <v>5</v>
      </c>
      <c r="H16" s="6">
        <f t="array" ref="H16">_xlfn.XLOOKUP(Movies[[#This Row],[movie_id]:[movie_id]],Financials[[#All],[movie_id]:[movie_id]],Financials[[#All],[budget]],"Not Available",0)</f>
        <v>103</v>
      </c>
      <c r="I16" s="6">
        <f t="array" ref="I16">_xlfn.XLOOKUP(Movies[[#This Row],[movie_id]:[movie_id]],Financials[[#All],[movie_id]:[movie_id]],Financials[[#All],[revenue]],"Not Available",0)</f>
        <v>460.5</v>
      </c>
      <c r="J16" s="6" t="str">
        <f t="array" ref="J16">_xlfn.XLOOKUP(Movies[[#This Row],[movie_id]:[movie_id]],Financials[[#All],[movie_id]:[movie_id]],Financials[[#All],[unit]],"Not Available",0)</f>
        <v>Millions</v>
      </c>
      <c r="K16" s="6" t="str">
        <f t="array" ref="K16">_xlfn.XLOOKUP(Movies[[#This Row],[movie_id]:[movie_id]],Financials[[#All],[movie_id]:[movie_id]],Financials[[#All],[currency]],"Not Available",0)</f>
        <v>USD</v>
      </c>
      <c r="L16" s="6">
        <f>IF(Movies[[#This Row],[unit]]="Billions",Movies[[#This Row],[budget]]*1000,Movies[[#This Row],[budget]])</f>
        <v>103</v>
      </c>
      <c r="M16" s="6">
        <f>IF(Movies[[#This Row],[unit]]="Billions",Movies[[#This Row],[revenue]]*1000,Movies[[#This Row],[revenue]])</f>
        <v>460.5</v>
      </c>
      <c r="N16" s="6">
        <f>IF(Movies[[#This Row],[currency]]="USD",Movies[[#This Row],[budget(Min)]]*80,Movies[[#This Row],[budget(Min)]])</f>
        <v>8240</v>
      </c>
      <c r="O16" s="6">
        <f>IF(Movies[[#This Row],[currency]]="USD",Movies[[#This Row],[Revenu(Min)]]*80,Movies[[#This Row],[Revenu(Min)]])</f>
        <v>36840</v>
      </c>
      <c r="P16" s="6">
        <f>IF(Movies[[#This Row],[currency]]="INR",Movies[[#This Row],[budget(Min)]]/8,Movies[[#This Row],[budget(Min)]])</f>
        <v>103</v>
      </c>
      <c r="Q16" s="6">
        <f>IF(Movies[[#This Row],[currency]]="INR",Movies[[#This Row],[Revenu(Min)]]/8,Movies[[#This Row],[Revenu(Min)]])</f>
        <v>460.5</v>
      </c>
    </row>
    <row r="17" spans="1:17">
      <c r="A17" s="7">
        <v>117</v>
      </c>
      <c r="B17" s="7" t="s">
        <v>69</v>
      </c>
      <c r="C17" s="7" t="s">
        <v>45</v>
      </c>
      <c r="D17" s="7">
        <v>1997</v>
      </c>
      <c r="E17" s="8">
        <v>7.9</v>
      </c>
      <c r="F17" s="7" t="s">
        <v>70</v>
      </c>
      <c r="G17" s="7">
        <v>5</v>
      </c>
      <c r="H17" s="9">
        <f t="array" ref="H17">_xlfn.XLOOKUP(Movies[[#This Row],[movie_id]:[movie_id]],Financials[[#All],[movie_id]:[movie_id]],Financials[[#All],[budget]],"Not Available",0)</f>
        <v>200</v>
      </c>
      <c r="I17" s="9">
        <f t="array" ref="I17">_xlfn.XLOOKUP(Movies[[#This Row],[movie_id]:[movie_id]],Financials[[#All],[movie_id]:[movie_id]],Financials[[#All],[revenue]],"Not Available",0)</f>
        <v>2202</v>
      </c>
      <c r="J17" s="9" t="str">
        <f t="array" ref="J17">_xlfn.XLOOKUP(Movies[[#This Row],[movie_id]:[movie_id]],Financials[[#All],[movie_id]:[movie_id]],Financials[[#All],[unit]],"Not Available",0)</f>
        <v>Millions</v>
      </c>
      <c r="K17" s="9" t="str">
        <f t="array" ref="K17">_xlfn.XLOOKUP(Movies[[#This Row],[movie_id]:[movie_id]],Financials[[#All],[movie_id]:[movie_id]],Financials[[#All],[currency]],"Not Available",0)</f>
        <v>USD</v>
      </c>
      <c r="L17" s="9">
        <f>IF(Movies[[#This Row],[unit]]="Billions",Movies[[#This Row],[budget]]*1000,Movies[[#This Row],[budget]])</f>
        <v>200</v>
      </c>
      <c r="M17" s="9">
        <f>IF(Movies[[#This Row],[unit]]="Billions",Movies[[#This Row],[revenue]]*1000,Movies[[#This Row],[revenue]])</f>
        <v>2202</v>
      </c>
      <c r="N17" s="9">
        <f>IF(Movies[[#This Row],[currency]]="USD",Movies[[#This Row],[budget(Min)]]*80,Movies[[#This Row],[budget(Min)]])</f>
        <v>16000</v>
      </c>
      <c r="O17" s="9">
        <f>IF(Movies[[#This Row],[currency]]="USD",Movies[[#This Row],[Revenu(Min)]]*80,Movies[[#This Row],[Revenu(Min)]])</f>
        <v>176160</v>
      </c>
      <c r="P17" s="9">
        <f>IF(Movies[[#This Row],[currency]]="INR",Movies[[#This Row],[budget(Min)]]/8,Movies[[#This Row],[budget(Min)]])</f>
        <v>200</v>
      </c>
      <c r="Q17" s="9">
        <f>IF(Movies[[#This Row],[currency]]="INR",Movies[[#This Row],[Revenu(Min)]]/8,Movies[[#This Row],[Revenu(Min)]])</f>
        <v>2202</v>
      </c>
    </row>
    <row r="18" spans="1:17">
      <c r="A18" s="4">
        <v>118</v>
      </c>
      <c r="B18" s="4" t="s">
        <v>71</v>
      </c>
      <c r="C18" s="4" t="s">
        <v>45</v>
      </c>
      <c r="D18" s="4">
        <v>1946</v>
      </c>
      <c r="E18" s="5">
        <v>8.6</v>
      </c>
      <c r="F18" s="4" t="s">
        <v>72</v>
      </c>
      <c r="G18" s="4">
        <v>5</v>
      </c>
      <c r="H18" s="6">
        <f t="array" ref="H18">_xlfn.XLOOKUP(Movies[[#This Row],[movie_id]:[movie_id]],Financials[[#All],[movie_id]:[movie_id]],Financials[[#All],[budget]],"Not Available",0)</f>
        <v>3.18</v>
      </c>
      <c r="I18" s="6">
        <f t="array" ref="I18">_xlfn.XLOOKUP(Movies[[#This Row],[movie_id]:[movie_id]],Financials[[#All],[movie_id]:[movie_id]],Financials[[#All],[revenue]],"Not Available",0)</f>
        <v>3.3</v>
      </c>
      <c r="J18" s="6" t="str">
        <f t="array" ref="J18">_xlfn.XLOOKUP(Movies[[#This Row],[movie_id]:[movie_id]],Financials[[#All],[movie_id]:[movie_id]],Financials[[#All],[unit]],"Not Available",0)</f>
        <v>Millions</v>
      </c>
      <c r="K18" s="6" t="str">
        <f t="array" ref="K18">_xlfn.XLOOKUP(Movies[[#This Row],[movie_id]:[movie_id]],Financials[[#All],[movie_id]:[movie_id]],Financials[[#All],[currency]],"Not Available",0)</f>
        <v>USD</v>
      </c>
      <c r="L18" s="6">
        <f>IF(Movies[[#This Row],[unit]]="Billions",Movies[[#This Row],[budget]]*1000,Movies[[#This Row],[budget]])</f>
        <v>3.18</v>
      </c>
      <c r="M18" s="6">
        <f>IF(Movies[[#This Row],[unit]]="Billions",Movies[[#This Row],[revenue]]*1000,Movies[[#This Row],[revenue]])</f>
        <v>3.3</v>
      </c>
      <c r="N18" s="6">
        <f>IF(Movies[[#This Row],[currency]]="USD",Movies[[#This Row],[budget(Min)]]*80,Movies[[#This Row],[budget(Min)]])</f>
        <v>254.4</v>
      </c>
      <c r="O18" s="6">
        <f>IF(Movies[[#This Row],[currency]]="USD",Movies[[#This Row],[Revenu(Min)]]*80,Movies[[#This Row],[Revenu(Min)]])</f>
        <v>264</v>
      </c>
      <c r="P18" s="6">
        <f>IF(Movies[[#This Row],[currency]]="INR",Movies[[#This Row],[budget(Min)]]/8,Movies[[#This Row],[budget(Min)]])</f>
        <v>3.18</v>
      </c>
      <c r="Q18" s="6">
        <f>IF(Movies[[#This Row],[currency]]="INR",Movies[[#This Row],[Revenu(Min)]]/8,Movies[[#This Row],[Revenu(Min)]])</f>
        <v>3.3</v>
      </c>
    </row>
    <row r="19" spans="1:17">
      <c r="A19" s="7">
        <v>119</v>
      </c>
      <c r="B19" s="7" t="s">
        <v>73</v>
      </c>
      <c r="C19" s="7" t="s">
        <v>45</v>
      </c>
      <c r="D19" s="7">
        <v>2009</v>
      </c>
      <c r="E19" s="8">
        <v>7.8</v>
      </c>
      <c r="F19" s="7" t="s">
        <v>74</v>
      </c>
      <c r="G19" s="7">
        <v>5</v>
      </c>
      <c r="H19" s="9">
        <f t="array" ref="H19">_xlfn.XLOOKUP(Movies[[#This Row],[movie_id]:[movie_id]],Financials[[#All],[movie_id]:[movie_id]],Financials[[#All],[budget]],"Not Available",0)</f>
        <v>237</v>
      </c>
      <c r="I19" s="9">
        <f t="array" ref="I19">_xlfn.XLOOKUP(Movies[[#This Row],[movie_id]:[movie_id]],Financials[[#All],[movie_id]:[movie_id]],Financials[[#All],[revenue]],"Not Available",0)</f>
        <v>2847</v>
      </c>
      <c r="J19" s="9" t="str">
        <f t="array" ref="J19">_xlfn.XLOOKUP(Movies[[#This Row],[movie_id]:[movie_id]],Financials[[#All],[movie_id]:[movie_id]],Financials[[#All],[unit]],"Not Available",0)</f>
        <v>Millions</v>
      </c>
      <c r="K19" s="9" t="str">
        <f t="array" ref="K19">_xlfn.XLOOKUP(Movies[[#This Row],[movie_id]:[movie_id]],Financials[[#All],[movie_id]:[movie_id]],Financials[[#All],[currency]],"Not Available",0)</f>
        <v>USD</v>
      </c>
      <c r="L19" s="9">
        <f>IF(Movies[[#This Row],[unit]]="Billions",Movies[[#This Row],[budget]]*1000,Movies[[#This Row],[budget]])</f>
        <v>237</v>
      </c>
      <c r="M19" s="9">
        <f>IF(Movies[[#This Row],[unit]]="Billions",Movies[[#This Row],[revenue]]*1000,Movies[[#This Row],[revenue]])</f>
        <v>2847</v>
      </c>
      <c r="N19" s="9">
        <f>IF(Movies[[#This Row],[currency]]="USD",Movies[[#This Row],[budget(Min)]]*80,Movies[[#This Row],[budget(Min)]])</f>
        <v>18960</v>
      </c>
      <c r="O19" s="9">
        <f>IF(Movies[[#This Row],[currency]]="USD",Movies[[#This Row],[Revenu(Min)]]*80,Movies[[#This Row],[Revenu(Min)]])</f>
        <v>227760</v>
      </c>
      <c r="P19" s="9">
        <f>IF(Movies[[#This Row],[currency]]="INR",Movies[[#This Row],[budget(Min)]]/8,Movies[[#This Row],[budget(Min)]])</f>
        <v>237</v>
      </c>
      <c r="Q19" s="9">
        <f>IF(Movies[[#This Row],[currency]]="INR",Movies[[#This Row],[Revenu(Min)]]/8,Movies[[#This Row],[Revenu(Min)]])</f>
        <v>2847</v>
      </c>
    </row>
    <row r="20" spans="1:17">
      <c r="A20" s="4">
        <v>120</v>
      </c>
      <c r="B20" s="4" t="s">
        <v>75</v>
      </c>
      <c r="C20" s="4" t="s">
        <v>45</v>
      </c>
      <c r="D20" s="4">
        <v>1972</v>
      </c>
      <c r="E20" s="5">
        <v>9.1999999999999993</v>
      </c>
      <c r="F20" s="4" t="s">
        <v>70</v>
      </c>
      <c r="G20" s="4">
        <v>5</v>
      </c>
      <c r="H20" s="6">
        <f t="array" ref="H20">_xlfn.XLOOKUP(Movies[[#This Row],[movie_id]:[movie_id]],Financials[[#All],[movie_id]:[movie_id]],Financials[[#All],[budget]],"Not Available",0)</f>
        <v>7.2</v>
      </c>
      <c r="I20" s="6">
        <f t="array" ref="I20">_xlfn.XLOOKUP(Movies[[#This Row],[movie_id]:[movie_id]],Financials[[#All],[movie_id]:[movie_id]],Financials[[#All],[revenue]],"Not Available",0)</f>
        <v>291</v>
      </c>
      <c r="J20" s="6" t="str">
        <f t="array" ref="J20">_xlfn.XLOOKUP(Movies[[#This Row],[movie_id]:[movie_id]],Financials[[#All],[movie_id]:[movie_id]],Financials[[#All],[unit]],"Not Available",0)</f>
        <v>Millions</v>
      </c>
      <c r="K20" s="6" t="str">
        <f t="array" ref="K20">_xlfn.XLOOKUP(Movies[[#This Row],[movie_id]:[movie_id]],Financials[[#All],[movie_id]:[movie_id]],Financials[[#All],[currency]],"Not Available",0)</f>
        <v>USD</v>
      </c>
      <c r="L20" s="6">
        <f>IF(Movies[[#This Row],[unit]]="Billions",Movies[[#This Row],[budget]]*1000,Movies[[#This Row],[budget]])</f>
        <v>7.2</v>
      </c>
      <c r="M20" s="6">
        <f>IF(Movies[[#This Row],[unit]]="Billions",Movies[[#This Row],[revenue]]*1000,Movies[[#This Row],[revenue]])</f>
        <v>291</v>
      </c>
      <c r="N20" s="6">
        <f>IF(Movies[[#This Row],[currency]]="USD",Movies[[#This Row],[budget(Min)]]*80,Movies[[#This Row],[budget(Min)]])</f>
        <v>576</v>
      </c>
      <c r="O20" s="6">
        <f>IF(Movies[[#This Row],[currency]]="USD",Movies[[#This Row],[Revenu(Min)]]*80,Movies[[#This Row],[Revenu(Min)]])</f>
        <v>23280</v>
      </c>
      <c r="P20" s="6">
        <f>IF(Movies[[#This Row],[currency]]="INR",Movies[[#This Row],[budget(Min)]]/8,Movies[[#This Row],[budget(Min)]])</f>
        <v>7.2</v>
      </c>
      <c r="Q20" s="6">
        <f>IF(Movies[[#This Row],[currency]]="INR",Movies[[#This Row],[Revenu(Min)]]/8,Movies[[#This Row],[Revenu(Min)]])</f>
        <v>291</v>
      </c>
    </row>
    <row r="21" spans="1:17">
      <c r="A21" s="7">
        <v>121</v>
      </c>
      <c r="B21" s="7" t="s">
        <v>76</v>
      </c>
      <c r="C21" s="7" t="s">
        <v>45</v>
      </c>
      <c r="D21" s="7">
        <v>2008</v>
      </c>
      <c r="E21" s="8">
        <v>9</v>
      </c>
      <c r="F21" s="7" t="s">
        <v>77</v>
      </c>
      <c r="G21" s="7">
        <v>5</v>
      </c>
      <c r="H21" s="9">
        <f t="array" ref="H21">_xlfn.XLOOKUP(Movies[[#This Row],[movie_id]:[movie_id]],Financials[[#All],[movie_id]:[movie_id]],Financials[[#All],[budget]],"Not Available",0)</f>
        <v>185</v>
      </c>
      <c r="I21" s="9">
        <f t="array" ref="I21">_xlfn.XLOOKUP(Movies[[#This Row],[movie_id]:[movie_id]],Financials[[#All],[movie_id]:[movie_id]],Financials[[#All],[revenue]],"Not Available",0)</f>
        <v>1006</v>
      </c>
      <c r="J21" s="9" t="str">
        <f t="array" ref="J21">_xlfn.XLOOKUP(Movies[[#This Row],[movie_id]:[movie_id]],Financials[[#All],[movie_id]:[movie_id]],Financials[[#All],[unit]],"Not Available",0)</f>
        <v>Millions</v>
      </c>
      <c r="K21" s="9" t="str">
        <f t="array" ref="K21">_xlfn.XLOOKUP(Movies[[#This Row],[movie_id]:[movie_id]],Financials[[#All],[movie_id]:[movie_id]],Financials[[#All],[currency]],"Not Available",0)</f>
        <v>USD</v>
      </c>
      <c r="L21" s="9">
        <f>IF(Movies[[#This Row],[unit]]="Billions",Movies[[#This Row],[budget]]*1000,Movies[[#This Row],[budget]])</f>
        <v>185</v>
      </c>
      <c r="M21" s="9">
        <f>IF(Movies[[#This Row],[unit]]="Billions",Movies[[#This Row],[revenue]]*1000,Movies[[#This Row],[revenue]])</f>
        <v>1006</v>
      </c>
      <c r="N21" s="9">
        <f>IF(Movies[[#This Row],[currency]]="USD",Movies[[#This Row],[budget(Min)]]*80,Movies[[#This Row],[budget(Min)]])</f>
        <v>14800</v>
      </c>
      <c r="O21" s="9">
        <f>IF(Movies[[#This Row],[currency]]="USD",Movies[[#This Row],[Revenu(Min)]]*80,Movies[[#This Row],[Revenu(Min)]])</f>
        <v>80480</v>
      </c>
      <c r="P21" s="9">
        <f>IF(Movies[[#This Row],[currency]]="INR",Movies[[#This Row],[budget(Min)]]/8,Movies[[#This Row],[budget(Min)]])</f>
        <v>185</v>
      </c>
      <c r="Q21" s="9">
        <f>IF(Movies[[#This Row],[currency]]="INR",Movies[[#This Row],[Revenu(Min)]]/8,Movies[[#This Row],[Revenu(Min)]])</f>
        <v>1006</v>
      </c>
    </row>
    <row r="22" spans="1:17">
      <c r="A22" s="4">
        <v>122</v>
      </c>
      <c r="B22" s="4" t="s">
        <v>78</v>
      </c>
      <c r="C22" s="4" t="s">
        <v>45</v>
      </c>
      <c r="D22" s="4">
        <v>1993</v>
      </c>
      <c r="E22" s="5">
        <v>9</v>
      </c>
      <c r="F22" s="4" t="s">
        <v>68</v>
      </c>
      <c r="G22" s="4">
        <v>5</v>
      </c>
      <c r="H22" s="6">
        <f t="array" ref="H22">_xlfn.XLOOKUP(Movies[[#This Row],[movie_id]:[movie_id]],Financials[[#All],[movie_id]:[movie_id]],Financials[[#All],[budget]],"Not Available",0)</f>
        <v>22</v>
      </c>
      <c r="I22" s="6">
        <f t="array" ref="I22">_xlfn.XLOOKUP(Movies[[#This Row],[movie_id]:[movie_id]],Financials[[#All],[movie_id]:[movie_id]],Financials[[#All],[revenue]],"Not Available",0)</f>
        <v>322.2</v>
      </c>
      <c r="J22" s="6" t="str">
        <f t="array" ref="J22">_xlfn.XLOOKUP(Movies[[#This Row],[movie_id]:[movie_id]],Financials[[#All],[movie_id]:[movie_id]],Financials[[#All],[unit]],"Not Available",0)</f>
        <v>Millions</v>
      </c>
      <c r="K22" s="6" t="str">
        <f t="array" ref="K22">_xlfn.XLOOKUP(Movies[[#This Row],[movie_id]:[movie_id]],Financials[[#All],[movie_id]:[movie_id]],Financials[[#All],[currency]],"Not Available",0)</f>
        <v>USD</v>
      </c>
      <c r="L22" s="6">
        <f>IF(Movies[[#This Row],[unit]]="Billions",Movies[[#This Row],[budget]]*1000,Movies[[#This Row],[budget]])</f>
        <v>22</v>
      </c>
      <c r="M22" s="6">
        <f>IF(Movies[[#This Row],[unit]]="Billions",Movies[[#This Row],[revenue]]*1000,Movies[[#This Row],[revenue]])</f>
        <v>322.2</v>
      </c>
      <c r="N22" s="6">
        <f>IF(Movies[[#This Row],[currency]]="USD",Movies[[#This Row],[budget(Min)]]*80,Movies[[#This Row],[budget(Min)]])</f>
        <v>1760</v>
      </c>
      <c r="O22" s="6">
        <f>IF(Movies[[#This Row],[currency]]="USD",Movies[[#This Row],[Revenu(Min)]]*80,Movies[[#This Row],[Revenu(Min)]])</f>
        <v>25776</v>
      </c>
      <c r="P22" s="6">
        <f>IF(Movies[[#This Row],[currency]]="INR",Movies[[#This Row],[budget(Min)]]/8,Movies[[#This Row],[budget(Min)]])</f>
        <v>22</v>
      </c>
      <c r="Q22" s="6">
        <f>IF(Movies[[#This Row],[currency]]="INR",Movies[[#This Row],[Revenu(Min)]]/8,Movies[[#This Row],[Revenu(Min)]])</f>
        <v>322.2</v>
      </c>
    </row>
    <row r="23" spans="1:17">
      <c r="A23" s="7">
        <v>123</v>
      </c>
      <c r="B23" s="7" t="s">
        <v>79</v>
      </c>
      <c r="C23" s="7" t="s">
        <v>45</v>
      </c>
      <c r="D23" s="7">
        <v>1993</v>
      </c>
      <c r="E23" s="8">
        <v>8.1999999999999993</v>
      </c>
      <c r="F23" s="7" t="s">
        <v>68</v>
      </c>
      <c r="G23" s="7">
        <v>5</v>
      </c>
      <c r="H23" s="9">
        <f t="array" ref="H23">_xlfn.XLOOKUP(Movies[[#This Row],[movie_id]:[movie_id]],Financials[[#All],[movie_id]:[movie_id]],Financials[[#All],[budget]],"Not Available",0)</f>
        <v>63</v>
      </c>
      <c r="I23" s="9">
        <f t="array" ref="I23">_xlfn.XLOOKUP(Movies[[#This Row],[movie_id]:[movie_id]],Financials[[#All],[movie_id]:[movie_id]],Financials[[#All],[revenue]],"Not Available",0)</f>
        <v>1046</v>
      </c>
      <c r="J23" s="9" t="str">
        <f t="array" ref="J23">_xlfn.XLOOKUP(Movies[[#This Row],[movie_id]:[movie_id]],Financials[[#All],[movie_id]:[movie_id]],Financials[[#All],[unit]],"Not Available",0)</f>
        <v>Millions</v>
      </c>
      <c r="K23" s="9" t="str">
        <f t="array" ref="K23">_xlfn.XLOOKUP(Movies[[#This Row],[movie_id]:[movie_id]],Financials[[#All],[movie_id]:[movie_id]],Financials[[#All],[currency]],"Not Available",0)</f>
        <v>USD</v>
      </c>
      <c r="L23" s="9">
        <f>IF(Movies[[#This Row],[unit]]="Billions",Movies[[#This Row],[budget]]*1000,Movies[[#This Row],[budget]])</f>
        <v>63</v>
      </c>
      <c r="M23" s="9">
        <f>IF(Movies[[#This Row],[unit]]="Billions",Movies[[#This Row],[revenue]]*1000,Movies[[#This Row],[revenue]])</f>
        <v>1046</v>
      </c>
      <c r="N23" s="9">
        <f>IF(Movies[[#This Row],[currency]]="USD",Movies[[#This Row],[budget(Min)]]*80,Movies[[#This Row],[budget(Min)]])</f>
        <v>5040</v>
      </c>
      <c r="O23" s="9">
        <f>IF(Movies[[#This Row],[currency]]="USD",Movies[[#This Row],[Revenu(Min)]]*80,Movies[[#This Row],[Revenu(Min)]])</f>
        <v>83680</v>
      </c>
      <c r="P23" s="9">
        <f>IF(Movies[[#This Row],[currency]]="INR",Movies[[#This Row],[budget(Min)]]/8,Movies[[#This Row],[budget(Min)]])</f>
        <v>63</v>
      </c>
      <c r="Q23" s="9">
        <f>IF(Movies[[#This Row],[currency]]="INR",Movies[[#This Row],[Revenu(Min)]]/8,Movies[[#This Row],[Revenu(Min)]])</f>
        <v>1046</v>
      </c>
    </row>
    <row r="24" spans="1:17">
      <c r="A24" s="4">
        <v>124</v>
      </c>
      <c r="B24" s="4" t="s">
        <v>80</v>
      </c>
      <c r="C24" s="4" t="s">
        <v>45</v>
      </c>
      <c r="D24" s="4">
        <v>2019</v>
      </c>
      <c r="E24" s="5">
        <v>8.5</v>
      </c>
      <c r="F24" s="4" t="s">
        <v>59</v>
      </c>
      <c r="G24" s="4">
        <v>5</v>
      </c>
      <c r="H24" s="6">
        <f t="array" ref="H24">_xlfn.XLOOKUP(Movies[[#This Row],[movie_id]:[movie_id]],Financials[[#All],[movie_id]:[movie_id]],Financials[[#All],[budget]],"Not Available",0)</f>
        <v>15.5</v>
      </c>
      <c r="I24" s="6">
        <f t="array" ref="I24">_xlfn.XLOOKUP(Movies[[#This Row],[movie_id]:[movie_id]],Financials[[#All],[movie_id]:[movie_id]],Financials[[#All],[revenue]],"Not Available",0)</f>
        <v>263.10000000000002</v>
      </c>
      <c r="J24" s="6" t="str">
        <f t="array" ref="J24">_xlfn.XLOOKUP(Movies[[#This Row],[movie_id]:[movie_id]],Financials[[#All],[movie_id]:[movie_id]],Financials[[#All],[unit]],"Not Available",0)</f>
        <v>Millions</v>
      </c>
      <c r="K24" s="6" t="str">
        <f t="array" ref="K24">_xlfn.XLOOKUP(Movies[[#This Row],[movie_id]:[movie_id]],Financials[[#All],[movie_id]:[movie_id]],Financials[[#All],[currency]],"Not Available",0)</f>
        <v>USD</v>
      </c>
      <c r="L24" s="6">
        <f>IF(Movies[[#This Row],[unit]]="Billions",Movies[[#This Row],[budget]]*1000,Movies[[#This Row],[budget]])</f>
        <v>15.5</v>
      </c>
      <c r="M24" s="6">
        <f>IF(Movies[[#This Row],[unit]]="Billions",Movies[[#This Row],[revenue]]*1000,Movies[[#This Row],[revenue]])</f>
        <v>263.10000000000002</v>
      </c>
      <c r="N24" s="6">
        <f>IF(Movies[[#This Row],[currency]]="USD",Movies[[#This Row],[budget(Min)]]*80,Movies[[#This Row],[budget(Min)]])</f>
        <v>1240</v>
      </c>
      <c r="O24" s="6">
        <f>IF(Movies[[#This Row],[currency]]="USD",Movies[[#This Row],[Revenu(Min)]]*80,Movies[[#This Row],[Revenu(Min)]])</f>
        <v>21048</v>
      </c>
      <c r="P24" s="6">
        <f>IF(Movies[[#This Row],[currency]]="INR",Movies[[#This Row],[budget(Min)]]/8,Movies[[#This Row],[budget(Min)]])</f>
        <v>15.5</v>
      </c>
      <c r="Q24" s="6">
        <f>IF(Movies[[#This Row],[currency]]="INR",Movies[[#This Row],[Revenu(Min)]]/8,Movies[[#This Row],[Revenu(Min)]])</f>
        <v>263.10000000000002</v>
      </c>
    </row>
    <row r="25" spans="1:17">
      <c r="A25" s="7">
        <v>125</v>
      </c>
      <c r="B25" s="7" t="s">
        <v>81</v>
      </c>
      <c r="C25" s="7" t="s">
        <v>45</v>
      </c>
      <c r="D25" s="7">
        <v>2019</v>
      </c>
      <c r="E25" s="8">
        <v>8.4</v>
      </c>
      <c r="F25" s="7" t="s">
        <v>46</v>
      </c>
      <c r="G25" s="7">
        <v>5</v>
      </c>
      <c r="H25" s="9">
        <f t="array" ref="H25">_xlfn.XLOOKUP(Movies[[#This Row],[movie_id]:[movie_id]],Financials[[#All],[movie_id]:[movie_id]],Financials[[#All],[budget]],"Not Available",0)</f>
        <v>400</v>
      </c>
      <c r="I25" s="9">
        <f t="array" ref="I25">_xlfn.XLOOKUP(Movies[[#This Row],[movie_id]:[movie_id]],Financials[[#All],[movie_id]:[movie_id]],Financials[[#All],[revenue]],"Not Available",0)</f>
        <v>2798</v>
      </c>
      <c r="J25" s="9" t="str">
        <f t="array" ref="J25">_xlfn.XLOOKUP(Movies[[#This Row],[movie_id]:[movie_id]],Financials[[#All],[movie_id]:[movie_id]],Financials[[#All],[unit]],"Not Available",0)</f>
        <v>Millions</v>
      </c>
      <c r="K25" s="9" t="str">
        <f t="array" ref="K25">_xlfn.XLOOKUP(Movies[[#This Row],[movie_id]:[movie_id]],Financials[[#All],[movie_id]:[movie_id]],Financials[[#All],[currency]],"Not Available",0)</f>
        <v>USD</v>
      </c>
      <c r="L25" s="9">
        <f>IF(Movies[[#This Row],[unit]]="Billions",Movies[[#This Row],[budget]]*1000,Movies[[#This Row],[budget]])</f>
        <v>400</v>
      </c>
      <c r="M25" s="9">
        <f>IF(Movies[[#This Row],[unit]]="Billions",Movies[[#This Row],[revenue]]*1000,Movies[[#This Row],[revenue]])</f>
        <v>2798</v>
      </c>
      <c r="N25" s="9">
        <f>IF(Movies[[#This Row],[currency]]="USD",Movies[[#This Row],[budget(Min)]]*80,Movies[[#This Row],[budget(Min)]])</f>
        <v>32000</v>
      </c>
      <c r="O25" s="9">
        <f>IF(Movies[[#This Row],[currency]]="USD",Movies[[#This Row],[Revenu(Min)]]*80,Movies[[#This Row],[Revenu(Min)]])</f>
        <v>223840</v>
      </c>
      <c r="P25" s="9">
        <f>IF(Movies[[#This Row],[currency]]="INR",Movies[[#This Row],[budget(Min)]]/8,Movies[[#This Row],[budget(Min)]])</f>
        <v>400</v>
      </c>
      <c r="Q25" s="9">
        <f>IF(Movies[[#This Row],[currency]]="INR",Movies[[#This Row],[Revenu(Min)]]/8,Movies[[#This Row],[Revenu(Min)]])</f>
        <v>2798</v>
      </c>
    </row>
    <row r="26" spans="1:17">
      <c r="A26" s="4">
        <v>126</v>
      </c>
      <c r="B26" s="4" t="s">
        <v>82</v>
      </c>
      <c r="C26" s="4" t="s">
        <v>45</v>
      </c>
      <c r="D26" s="4">
        <v>2018</v>
      </c>
      <c r="E26" s="5">
        <v>8.4</v>
      </c>
      <c r="F26" s="4" t="s">
        <v>46</v>
      </c>
      <c r="G26" s="4">
        <v>5</v>
      </c>
      <c r="H26" s="6">
        <f t="array" ref="H26">_xlfn.XLOOKUP(Movies[[#This Row],[movie_id]:[movie_id]],Financials[[#All],[movie_id]:[movie_id]],Financials[[#All],[budget]],"Not Available",0)</f>
        <v>400</v>
      </c>
      <c r="I26" s="6">
        <f t="array" ref="I26">_xlfn.XLOOKUP(Movies[[#This Row],[movie_id]:[movie_id]],Financials[[#All],[movie_id]:[movie_id]],Financials[[#All],[revenue]],"Not Available",0)</f>
        <v>2048</v>
      </c>
      <c r="J26" s="6" t="str">
        <f t="array" ref="J26">_xlfn.XLOOKUP(Movies[[#This Row],[movie_id]:[movie_id]],Financials[[#All],[movie_id]:[movie_id]],Financials[[#All],[unit]],"Not Available",0)</f>
        <v>Millions</v>
      </c>
      <c r="K26" s="6" t="str">
        <f t="array" ref="K26">_xlfn.XLOOKUP(Movies[[#This Row],[movie_id]:[movie_id]],Financials[[#All],[movie_id]:[movie_id]],Financials[[#All],[currency]],"Not Available",0)</f>
        <v>USD</v>
      </c>
      <c r="L26" s="6">
        <f>IF(Movies[[#This Row],[unit]]="Billions",Movies[[#This Row],[budget]]*1000,Movies[[#This Row],[budget]])</f>
        <v>400</v>
      </c>
      <c r="M26" s="6">
        <f>IF(Movies[[#This Row],[unit]]="Billions",Movies[[#This Row],[revenue]]*1000,Movies[[#This Row],[revenue]])</f>
        <v>2048</v>
      </c>
      <c r="N26" s="6">
        <f>IF(Movies[[#This Row],[currency]]="USD",Movies[[#This Row],[budget(Min)]]*80,Movies[[#This Row],[budget(Min)]])</f>
        <v>32000</v>
      </c>
      <c r="O26" s="6">
        <f>IF(Movies[[#This Row],[currency]]="USD",Movies[[#This Row],[Revenu(Min)]]*80,Movies[[#This Row],[Revenu(Min)]])</f>
        <v>163840</v>
      </c>
      <c r="P26" s="6">
        <f>IF(Movies[[#This Row],[currency]]="INR",Movies[[#This Row],[budget(Min)]]/8,Movies[[#This Row],[budget(Min)]])</f>
        <v>400</v>
      </c>
      <c r="Q26" s="6">
        <f>IF(Movies[[#This Row],[currency]]="INR",Movies[[#This Row],[Revenu(Min)]]/8,Movies[[#This Row],[Revenu(Min)]])</f>
        <v>2048</v>
      </c>
    </row>
    <row r="27" spans="1:17">
      <c r="A27" s="7">
        <v>127</v>
      </c>
      <c r="B27" s="7" t="s">
        <v>83</v>
      </c>
      <c r="C27" s="7" t="s">
        <v>42</v>
      </c>
      <c r="D27" s="7">
        <v>1955</v>
      </c>
      <c r="E27" s="8">
        <v>8.3000000000000007</v>
      </c>
      <c r="F27" s="7" t="s">
        <v>84</v>
      </c>
      <c r="G27" s="7">
        <v>7</v>
      </c>
      <c r="H27" s="9">
        <f t="array" ref="H27">_xlfn.XLOOKUP(Movies[[#This Row],[movie_id]:[movie_id]],Financials[[#All],[movie_id]:[movie_id]],Financials[[#All],[budget]],"Not Available",0)</f>
        <v>70</v>
      </c>
      <c r="I27" s="9">
        <f t="array" ref="I27">_xlfn.XLOOKUP(Movies[[#This Row],[movie_id]:[movie_id]],Financials[[#All],[movie_id]:[movie_id]],Financials[[#All],[revenue]],"Not Available",0)</f>
        <v>100</v>
      </c>
      <c r="J27" s="9" t="str">
        <f t="array" ref="J27">_xlfn.XLOOKUP(Movies[[#This Row],[movie_id]:[movie_id]],Financials[[#All],[movie_id]:[movie_id]],Financials[[#All],[unit]],"Not Available",0)</f>
        <v>Millions</v>
      </c>
      <c r="K27" s="9" t="str">
        <f t="array" ref="K27">_xlfn.XLOOKUP(Movies[[#This Row],[movie_id]:[movie_id]],Financials[[#All],[movie_id]:[movie_id]],Financials[[#All],[currency]],"Not Available",0)</f>
        <v>INR</v>
      </c>
      <c r="L27" s="9">
        <f>IF(Movies[[#This Row],[unit]]="Billions",Movies[[#This Row],[budget]]*1000,Movies[[#This Row],[budget]])</f>
        <v>70</v>
      </c>
      <c r="M27" s="9">
        <f>IF(Movies[[#This Row],[unit]]="Billions",Movies[[#This Row],[revenue]]*1000,Movies[[#This Row],[revenue]])</f>
        <v>100</v>
      </c>
      <c r="N27" s="9">
        <f>IF(Movies[[#This Row],[currency]]="USD",Movies[[#This Row],[budget(Min)]]*80,Movies[[#This Row],[budget(Min)]])</f>
        <v>70</v>
      </c>
      <c r="O27" s="9">
        <f>IF(Movies[[#This Row],[currency]]="USD",Movies[[#This Row],[Revenu(Min)]]*80,Movies[[#This Row],[Revenu(Min)]])</f>
        <v>100</v>
      </c>
      <c r="P27" s="9">
        <f>IF(Movies[[#This Row],[currency]]="INR",Movies[[#This Row],[budget(Min)]]/8,Movies[[#This Row],[budget(Min)]])</f>
        <v>8.75</v>
      </c>
      <c r="Q27" s="9">
        <f>IF(Movies[[#This Row],[currency]]="INR",Movies[[#This Row],[Revenu(Min)]]/8,Movies[[#This Row],[Revenu(Min)]])</f>
        <v>12.5</v>
      </c>
    </row>
    <row r="28" spans="1:17">
      <c r="A28" s="4">
        <v>128</v>
      </c>
      <c r="B28" s="4" t="s">
        <v>85</v>
      </c>
      <c r="C28" s="4" t="s">
        <v>42</v>
      </c>
      <c r="D28" s="4">
        <v>2007</v>
      </c>
      <c r="E28" s="5">
        <v>8.3000000000000007</v>
      </c>
      <c r="F28" s="4" t="s">
        <v>59</v>
      </c>
      <c r="G28" s="4">
        <v>1</v>
      </c>
      <c r="H28" s="6">
        <f t="array" ref="H28">_xlfn.XLOOKUP(Movies[[#This Row],[movie_id]:[movie_id]],Financials[[#All],[movie_id]:[movie_id]],Financials[[#All],[budget]],"Not Available",0)</f>
        <v>120</v>
      </c>
      <c r="I28" s="6">
        <f t="array" ref="I28">_xlfn.XLOOKUP(Movies[[#This Row],[movie_id]:[movie_id]],Financials[[#All],[movie_id]:[movie_id]],Financials[[#All],[revenue]],"Not Available",0)</f>
        <v>1350</v>
      </c>
      <c r="J28" s="6" t="str">
        <f t="array" ref="J28">_xlfn.XLOOKUP(Movies[[#This Row],[movie_id]:[movie_id]],Financials[[#All],[movie_id]:[movie_id]],Financials[[#All],[unit]],"Not Available",0)</f>
        <v>Millions</v>
      </c>
      <c r="K28" s="6" t="str">
        <f t="array" ref="K28">_xlfn.XLOOKUP(Movies[[#This Row],[movie_id]:[movie_id]],Financials[[#All],[movie_id]:[movie_id]],Financials[[#All],[currency]],"Not Available",0)</f>
        <v>INR</v>
      </c>
      <c r="L28" s="6">
        <f>IF(Movies[[#This Row],[unit]]="Billions",Movies[[#This Row],[budget]]*1000,Movies[[#This Row],[budget]])</f>
        <v>120</v>
      </c>
      <c r="M28" s="6">
        <f>IF(Movies[[#This Row],[unit]]="Billions",Movies[[#This Row],[revenue]]*1000,Movies[[#This Row],[revenue]])</f>
        <v>1350</v>
      </c>
      <c r="N28" s="6">
        <f>IF(Movies[[#This Row],[currency]]="USD",Movies[[#This Row],[budget(Min)]]*80,Movies[[#This Row],[budget(Min)]])</f>
        <v>120</v>
      </c>
      <c r="O28" s="6">
        <f>IF(Movies[[#This Row],[currency]]="USD",Movies[[#This Row],[Revenu(Min)]]*80,Movies[[#This Row],[Revenu(Min)]])</f>
        <v>1350</v>
      </c>
      <c r="P28" s="6">
        <f>IF(Movies[[#This Row],[currency]]="INR",Movies[[#This Row],[budget(Min)]]/8,Movies[[#This Row],[budget(Min)]])</f>
        <v>15</v>
      </c>
      <c r="Q28" s="6">
        <f>IF(Movies[[#This Row],[currency]]="INR",Movies[[#This Row],[Revenu(Min)]]/8,Movies[[#This Row],[Revenu(Min)]])</f>
        <v>168.75</v>
      </c>
    </row>
    <row r="29" spans="1:17">
      <c r="A29" s="7">
        <v>129</v>
      </c>
      <c r="B29" s="7" t="s">
        <v>86</v>
      </c>
      <c r="C29" s="7" t="s">
        <v>42</v>
      </c>
      <c r="D29" s="7">
        <v>2003</v>
      </c>
      <c r="E29" s="8">
        <v>8.1</v>
      </c>
      <c r="F29" s="7" t="s">
        <v>87</v>
      </c>
      <c r="G29" s="7">
        <v>1</v>
      </c>
      <c r="H29" s="9">
        <f t="array" ref="H29">_xlfn.XLOOKUP(Movies[[#This Row],[movie_id]:[movie_id]],Financials[[#All],[movie_id]:[movie_id]],Financials[[#All],[budget]],"Not Available",0)</f>
        <v>100</v>
      </c>
      <c r="I29" s="9">
        <f t="array" ref="I29">_xlfn.XLOOKUP(Movies[[#This Row],[movie_id]:[movie_id]],Financials[[#All],[movie_id]:[movie_id]],Financials[[#All],[revenue]],"Not Available",0)</f>
        <v>410</v>
      </c>
      <c r="J29" s="9" t="str">
        <f t="array" ref="J29">_xlfn.XLOOKUP(Movies[[#This Row],[movie_id]:[movie_id]],Financials[[#All],[movie_id]:[movie_id]],Financials[[#All],[unit]],"Not Available",0)</f>
        <v>Millions</v>
      </c>
      <c r="K29" s="9" t="str">
        <f t="array" ref="K29">_xlfn.XLOOKUP(Movies[[#This Row],[movie_id]:[movie_id]],Financials[[#All],[movie_id]:[movie_id]],Financials[[#All],[currency]],"Not Available",0)</f>
        <v>INR</v>
      </c>
      <c r="L29" s="9">
        <f>IF(Movies[[#This Row],[unit]]="Billions",Movies[[#This Row],[budget]]*1000,Movies[[#This Row],[budget]])</f>
        <v>100</v>
      </c>
      <c r="M29" s="9">
        <f>IF(Movies[[#This Row],[unit]]="Billions",Movies[[#This Row],[revenue]]*1000,Movies[[#This Row],[revenue]])</f>
        <v>410</v>
      </c>
      <c r="N29" s="9">
        <f>IF(Movies[[#This Row],[currency]]="USD",Movies[[#This Row],[budget(Min)]]*80,Movies[[#This Row],[budget(Min)]])</f>
        <v>100</v>
      </c>
      <c r="O29" s="9">
        <f>IF(Movies[[#This Row],[currency]]="USD",Movies[[#This Row],[Revenu(Min)]]*80,Movies[[#This Row],[Revenu(Min)]])</f>
        <v>410</v>
      </c>
      <c r="P29" s="9">
        <f>IF(Movies[[#This Row],[currency]]="INR",Movies[[#This Row],[budget(Min)]]/8,Movies[[#This Row],[budget(Min)]])</f>
        <v>12.5</v>
      </c>
      <c r="Q29" s="9">
        <f>IF(Movies[[#This Row],[currency]]="INR",Movies[[#This Row],[Revenu(Min)]]/8,Movies[[#This Row],[Revenu(Min)]])</f>
        <v>51.25</v>
      </c>
    </row>
    <row r="30" spans="1:17">
      <c r="A30" s="4">
        <v>130</v>
      </c>
      <c r="B30" s="4" t="s">
        <v>88</v>
      </c>
      <c r="C30" s="4" t="s">
        <v>42</v>
      </c>
      <c r="D30" s="4">
        <v>2014</v>
      </c>
      <c r="E30" s="5">
        <v>8.1</v>
      </c>
      <c r="F30" s="4" t="s">
        <v>55</v>
      </c>
      <c r="G30" s="4">
        <v>1</v>
      </c>
      <c r="H30" s="6">
        <f t="array" ref="H30">_xlfn.XLOOKUP(Movies[[#This Row],[movie_id]:[movie_id]],Financials[[#All],[movie_id]:[movie_id]],Financials[[#All],[budget]],"Not Available",0)</f>
        <v>850</v>
      </c>
      <c r="I30" s="6">
        <f t="array" ref="I30">_xlfn.XLOOKUP(Movies[[#This Row],[movie_id]:[movie_id]],Financials[[#All],[movie_id]:[movie_id]],Financials[[#All],[revenue]],"Not Available",0)</f>
        <v>8540</v>
      </c>
      <c r="J30" s="6" t="str">
        <f t="array" ref="J30">_xlfn.XLOOKUP(Movies[[#This Row],[movie_id]:[movie_id]],Financials[[#All],[movie_id]:[movie_id]],Financials[[#All],[unit]],"Not Available",0)</f>
        <v>Millions</v>
      </c>
      <c r="K30" s="6" t="str">
        <f t="array" ref="K30">_xlfn.XLOOKUP(Movies[[#This Row],[movie_id]:[movie_id]],Financials[[#All],[movie_id]:[movie_id]],Financials[[#All],[currency]],"Not Available",0)</f>
        <v>INR</v>
      </c>
      <c r="L30" s="6">
        <f>IF(Movies[[#This Row],[unit]]="Billions",Movies[[#This Row],[budget]]*1000,Movies[[#This Row],[budget]])</f>
        <v>850</v>
      </c>
      <c r="M30" s="6">
        <f>IF(Movies[[#This Row],[unit]]="Billions",Movies[[#This Row],[revenue]]*1000,Movies[[#This Row],[revenue]])</f>
        <v>8540</v>
      </c>
      <c r="N30" s="6">
        <f>IF(Movies[[#This Row],[currency]]="USD",Movies[[#This Row],[budget(Min)]]*80,Movies[[#This Row],[budget(Min)]])</f>
        <v>850</v>
      </c>
      <c r="O30" s="6">
        <f>IF(Movies[[#This Row],[currency]]="USD",Movies[[#This Row],[Revenu(Min)]]*80,Movies[[#This Row],[Revenu(Min)]])</f>
        <v>8540</v>
      </c>
      <c r="P30" s="6">
        <f>IF(Movies[[#This Row],[currency]]="INR",Movies[[#This Row],[budget(Min)]]/8,Movies[[#This Row],[budget(Min)]])</f>
        <v>106.25</v>
      </c>
      <c r="Q30" s="6">
        <f>IF(Movies[[#This Row],[currency]]="INR",Movies[[#This Row],[Revenu(Min)]]/8,Movies[[#This Row],[Revenu(Min)]])</f>
        <v>1067.5</v>
      </c>
    </row>
    <row r="31" spans="1:17">
      <c r="A31" s="7">
        <v>131</v>
      </c>
      <c r="B31" s="7" t="s">
        <v>89</v>
      </c>
      <c r="C31" s="7" t="s">
        <v>42</v>
      </c>
      <c r="D31" s="7">
        <v>2018</v>
      </c>
      <c r="E31" s="8" t="s">
        <v>90</v>
      </c>
      <c r="F31" s="7" t="s">
        <v>55</v>
      </c>
      <c r="G31" s="7">
        <v>1</v>
      </c>
      <c r="H31" s="9">
        <f t="array" ref="H31">_xlfn.XLOOKUP(Movies[[#This Row],[movie_id]:[movie_id]],Financials[[#All],[movie_id]:[movie_id]],Financials[[#All],[budget]],"Not Available",0)</f>
        <v>1</v>
      </c>
      <c r="I31" s="9">
        <f t="array" ref="I31">_xlfn.XLOOKUP(Movies[[#This Row],[movie_id]:[movie_id]],Financials[[#All],[movie_id]:[movie_id]],Financials[[#All],[revenue]],"Not Available",0)</f>
        <v>5.9</v>
      </c>
      <c r="J31" s="9" t="str">
        <f t="array" ref="J31">_xlfn.XLOOKUP(Movies[[#This Row],[movie_id]:[movie_id]],Financials[[#All],[movie_id]:[movie_id]],Financials[[#All],[unit]],"Not Available",0)</f>
        <v>Billions</v>
      </c>
      <c r="K31" s="9" t="str">
        <f t="array" ref="K31">_xlfn.XLOOKUP(Movies[[#This Row],[movie_id]:[movie_id]],Financials[[#All],[movie_id]:[movie_id]],Financials[[#All],[currency]],"Not Available",0)</f>
        <v>INR</v>
      </c>
      <c r="L31" s="9">
        <f>IF(Movies[[#This Row],[unit]]="Billions",Movies[[#This Row],[budget]]*1000,Movies[[#This Row],[budget]])</f>
        <v>1000</v>
      </c>
      <c r="M31" s="9">
        <f>IF(Movies[[#This Row],[unit]]="Billions",Movies[[#This Row],[revenue]]*1000,Movies[[#This Row],[revenue]])</f>
        <v>5900</v>
      </c>
      <c r="N31" s="9">
        <f>IF(Movies[[#This Row],[currency]]="USD",Movies[[#This Row],[budget(Min)]]*80,Movies[[#This Row],[budget(Min)]])</f>
        <v>1000</v>
      </c>
      <c r="O31" s="9">
        <f>IF(Movies[[#This Row],[currency]]="USD",Movies[[#This Row],[Revenu(Min)]]*80,Movies[[#This Row],[Revenu(Min)]])</f>
        <v>5900</v>
      </c>
      <c r="P31" s="9">
        <f>IF(Movies[[#This Row],[currency]]="INR",Movies[[#This Row],[budget(Min)]]/8,Movies[[#This Row],[budget(Min)]])</f>
        <v>125</v>
      </c>
      <c r="Q31" s="9">
        <f>IF(Movies[[#This Row],[currency]]="INR",Movies[[#This Row],[Revenu(Min)]]/8,Movies[[#This Row],[Revenu(Min)]])</f>
        <v>737.5</v>
      </c>
    </row>
    <row r="32" spans="1:17">
      <c r="A32" s="4">
        <v>132</v>
      </c>
      <c r="B32" s="4" t="s">
        <v>91</v>
      </c>
      <c r="C32" s="4" t="s">
        <v>42</v>
      </c>
      <c r="D32" s="4">
        <v>2021</v>
      </c>
      <c r="E32" s="5">
        <v>7.6</v>
      </c>
      <c r="F32" s="4" t="s">
        <v>92</v>
      </c>
      <c r="G32" s="4">
        <v>2</v>
      </c>
      <c r="H32" s="6">
        <f t="array" ref="H32">_xlfn.XLOOKUP(Movies[[#This Row],[movie_id]:[movie_id]],Financials[[#All],[movie_id]:[movie_id]],Financials[[#All],[budget]],"Not Available",0)</f>
        <v>2</v>
      </c>
      <c r="I32" s="6">
        <f t="array" ref="I32">_xlfn.XLOOKUP(Movies[[#This Row],[movie_id]:[movie_id]],Financials[[#All],[movie_id]:[movie_id]],Financials[[#All],[revenue]],"Not Available",0)</f>
        <v>3.6</v>
      </c>
      <c r="J32" s="6" t="str">
        <f t="array" ref="J32">_xlfn.XLOOKUP(Movies[[#This Row],[movie_id]:[movie_id]],Financials[[#All],[movie_id]:[movie_id]],Financials[[#All],[unit]],"Not Available",0)</f>
        <v>Billions</v>
      </c>
      <c r="K32" s="6" t="str">
        <f t="array" ref="K32">_xlfn.XLOOKUP(Movies[[#This Row],[movie_id]:[movie_id]],Financials[[#All],[movie_id]:[movie_id]],Financials[[#All],[currency]],"Not Available",0)</f>
        <v>INR</v>
      </c>
      <c r="L32" s="6">
        <f>IF(Movies[[#This Row],[unit]]="Billions",Movies[[#This Row],[budget]]*1000,Movies[[#This Row],[budget]])</f>
        <v>2000</v>
      </c>
      <c r="M32" s="6">
        <f>IF(Movies[[#This Row],[unit]]="Billions",Movies[[#This Row],[revenue]]*1000,Movies[[#This Row],[revenue]])</f>
        <v>3600</v>
      </c>
      <c r="N32" s="6">
        <f>IF(Movies[[#This Row],[currency]]="USD",Movies[[#This Row],[budget(Min)]]*80,Movies[[#This Row],[budget(Min)]])</f>
        <v>2000</v>
      </c>
      <c r="O32" s="6">
        <f>IF(Movies[[#This Row],[currency]]="USD",Movies[[#This Row],[Revenu(Min)]]*80,Movies[[#This Row],[Revenu(Min)]])</f>
        <v>3600</v>
      </c>
      <c r="P32" s="6">
        <f>IF(Movies[[#This Row],[currency]]="INR",Movies[[#This Row],[budget(Min)]]/8,Movies[[#This Row],[budget(Min)]])</f>
        <v>250</v>
      </c>
      <c r="Q32" s="6">
        <f>IF(Movies[[#This Row],[currency]]="INR",Movies[[#This Row],[Revenu(Min)]]/8,Movies[[#This Row],[Revenu(Min)]])</f>
        <v>450</v>
      </c>
    </row>
    <row r="33" spans="1:17">
      <c r="A33" s="7">
        <v>133</v>
      </c>
      <c r="B33" s="7" t="s">
        <v>93</v>
      </c>
      <c r="C33" s="7" t="s">
        <v>42</v>
      </c>
      <c r="D33" s="7">
        <v>2022</v>
      </c>
      <c r="E33" s="8">
        <v>8</v>
      </c>
      <c r="F33" s="7" t="s">
        <v>94</v>
      </c>
      <c r="G33" s="7">
        <v>2</v>
      </c>
      <c r="H33" s="9">
        <f t="array" ref="H33">_xlfn.XLOOKUP(Movies[[#This Row],[movie_id]:[movie_id]],Financials[[#All],[movie_id]:[movie_id]],Financials[[#All],[budget]],"Not Available",0)</f>
        <v>5.5</v>
      </c>
      <c r="I33" s="9">
        <f t="array" ref="I33">_xlfn.XLOOKUP(Movies[[#This Row],[movie_id]:[movie_id]],Financials[[#All],[movie_id]:[movie_id]],Financials[[#All],[revenue]],"Not Available",0)</f>
        <v>12</v>
      </c>
      <c r="J33" s="9" t="str">
        <f t="array" ref="J33">_xlfn.XLOOKUP(Movies[[#This Row],[movie_id]:[movie_id]],Financials[[#All],[movie_id]:[movie_id]],Financials[[#All],[unit]],"Not Available",0)</f>
        <v>Billions</v>
      </c>
      <c r="K33" s="9" t="str">
        <f t="array" ref="K33">_xlfn.XLOOKUP(Movies[[#This Row],[movie_id]:[movie_id]],Financials[[#All],[movie_id]:[movie_id]],Financials[[#All],[currency]],"Not Available",0)</f>
        <v>INR</v>
      </c>
      <c r="L33" s="9">
        <f>IF(Movies[[#This Row],[unit]]="Billions",Movies[[#This Row],[budget]]*1000,Movies[[#This Row],[budget]])</f>
        <v>5500</v>
      </c>
      <c r="M33" s="9">
        <f>IF(Movies[[#This Row],[unit]]="Billions",Movies[[#This Row],[revenue]]*1000,Movies[[#This Row],[revenue]])</f>
        <v>12000</v>
      </c>
      <c r="N33" s="9">
        <f>IF(Movies[[#This Row],[currency]]="USD",Movies[[#This Row],[budget(Min)]]*80,Movies[[#This Row],[budget(Min)]])</f>
        <v>5500</v>
      </c>
      <c r="O33" s="9">
        <f>IF(Movies[[#This Row],[currency]]="USD",Movies[[#This Row],[Revenu(Min)]]*80,Movies[[#This Row],[Revenu(Min)]])</f>
        <v>12000</v>
      </c>
      <c r="P33" s="9">
        <f>IF(Movies[[#This Row],[currency]]="INR",Movies[[#This Row],[budget(Min)]]/8,Movies[[#This Row],[budget(Min)]])</f>
        <v>687.5</v>
      </c>
      <c r="Q33" s="9">
        <f>IF(Movies[[#This Row],[currency]]="INR",Movies[[#This Row],[Revenu(Min)]]/8,Movies[[#This Row],[Revenu(Min)]])</f>
        <v>1500</v>
      </c>
    </row>
    <row r="34" spans="1:17">
      <c r="A34" s="4">
        <v>134</v>
      </c>
      <c r="B34" s="4" t="s">
        <v>95</v>
      </c>
      <c r="C34" s="4" t="s">
        <v>42</v>
      </c>
      <c r="D34" s="4">
        <v>2015</v>
      </c>
      <c r="E34" s="5">
        <v>8</v>
      </c>
      <c r="F34" s="4" t="s">
        <v>96</v>
      </c>
      <c r="G34" s="4">
        <v>2</v>
      </c>
      <c r="H34" s="6">
        <f t="array" ref="H34">_xlfn.XLOOKUP(Movies[[#This Row],[movie_id]:[movie_id]],Financials[[#All],[movie_id]:[movie_id]],Financials[[#All],[budget]],"Not Available",0)</f>
        <v>1.8</v>
      </c>
      <c r="I34" s="6">
        <f t="array" ref="I34">_xlfn.XLOOKUP(Movies[[#This Row],[movie_id]:[movie_id]],Financials[[#All],[movie_id]:[movie_id]],Financials[[#All],[revenue]],"Not Available",0)</f>
        <v>6.5</v>
      </c>
      <c r="J34" s="6" t="str">
        <f t="array" ref="J34">_xlfn.XLOOKUP(Movies[[#This Row],[movie_id]:[movie_id]],Financials[[#All],[movie_id]:[movie_id]],Financials[[#All],[unit]],"Not Available",0)</f>
        <v>Billions</v>
      </c>
      <c r="K34" s="6" t="str">
        <f t="array" ref="K34">_xlfn.XLOOKUP(Movies[[#This Row],[movie_id]:[movie_id]],Financials[[#All],[movie_id]:[movie_id]],Financials[[#All],[currency]],"Not Available",0)</f>
        <v>INR</v>
      </c>
      <c r="L34" s="6">
        <f>IF(Movies[[#This Row],[unit]]="Billions",Movies[[#This Row],[budget]]*1000,Movies[[#This Row],[budget]])</f>
        <v>1800</v>
      </c>
      <c r="M34" s="6">
        <f>IF(Movies[[#This Row],[unit]]="Billions",Movies[[#This Row],[revenue]]*1000,Movies[[#This Row],[revenue]])</f>
        <v>6500</v>
      </c>
      <c r="N34" s="6">
        <f>IF(Movies[[#This Row],[currency]]="USD",Movies[[#This Row],[budget(Min)]]*80,Movies[[#This Row],[budget(Min)]])</f>
        <v>1800</v>
      </c>
      <c r="O34" s="6">
        <f>IF(Movies[[#This Row],[currency]]="USD",Movies[[#This Row],[Revenu(Min)]]*80,Movies[[#This Row],[Revenu(Min)]])</f>
        <v>6500</v>
      </c>
      <c r="P34" s="6">
        <f>IF(Movies[[#This Row],[currency]]="INR",Movies[[#This Row],[budget(Min)]]/8,Movies[[#This Row],[budget(Min)]])</f>
        <v>225</v>
      </c>
      <c r="Q34" s="6">
        <f>IF(Movies[[#This Row],[currency]]="INR",Movies[[#This Row],[Revenu(Min)]]/8,Movies[[#This Row],[Revenu(Min)]])</f>
        <v>812.5</v>
      </c>
    </row>
    <row r="35" spans="1:17">
      <c r="A35" s="7">
        <v>135</v>
      </c>
      <c r="B35" s="7" t="s">
        <v>97</v>
      </c>
      <c r="C35" s="7" t="s">
        <v>42</v>
      </c>
      <c r="D35" s="7">
        <v>2022</v>
      </c>
      <c r="E35" s="8">
        <v>8.3000000000000007</v>
      </c>
      <c r="F35" s="7" t="s">
        <v>98</v>
      </c>
      <c r="G35" s="7">
        <v>1</v>
      </c>
      <c r="H35" s="9">
        <f t="array" ref="H35">_xlfn.XLOOKUP(Movies[[#This Row],[movie_id]:[movie_id]],Financials[[#All],[movie_id]:[movie_id]],Financials[[#All],[budget]],"Not Available",0)</f>
        <v>250</v>
      </c>
      <c r="I35" s="9">
        <f t="array" ref="I35">_xlfn.XLOOKUP(Movies[[#This Row],[movie_id]:[movie_id]],Financials[[#All],[movie_id]:[movie_id]],Financials[[#All],[revenue]],"Not Available",0)</f>
        <v>3409</v>
      </c>
      <c r="J35" s="9" t="str">
        <f t="array" ref="J35">_xlfn.XLOOKUP(Movies[[#This Row],[movie_id]:[movie_id]],Financials[[#All],[movie_id]:[movie_id]],Financials[[#All],[unit]],"Not Available",0)</f>
        <v>Millions</v>
      </c>
      <c r="K35" s="9" t="str">
        <f t="array" ref="K35">_xlfn.XLOOKUP(Movies[[#This Row],[movie_id]:[movie_id]],Financials[[#All],[movie_id]:[movie_id]],Financials[[#All],[currency]],"Not Available",0)</f>
        <v>INR</v>
      </c>
      <c r="L35" s="9">
        <f>IF(Movies[[#This Row],[unit]]="Billions",Movies[[#This Row],[budget]]*1000,Movies[[#This Row],[budget]])</f>
        <v>250</v>
      </c>
      <c r="M35" s="9">
        <f>IF(Movies[[#This Row],[unit]]="Billions",Movies[[#This Row],[revenue]]*1000,Movies[[#This Row],[revenue]])</f>
        <v>3409</v>
      </c>
      <c r="N35" s="9">
        <f>IF(Movies[[#This Row],[currency]]="USD",Movies[[#This Row],[budget(Min)]]*80,Movies[[#This Row],[budget(Min)]])</f>
        <v>250</v>
      </c>
      <c r="O35" s="9">
        <f>IF(Movies[[#This Row],[currency]]="USD",Movies[[#This Row],[Revenu(Min)]]*80,Movies[[#This Row],[Revenu(Min)]])</f>
        <v>3409</v>
      </c>
      <c r="P35" s="9">
        <f>IF(Movies[[#This Row],[currency]]="INR",Movies[[#This Row],[budget(Min)]]/8,Movies[[#This Row],[budget(Min)]])</f>
        <v>31.25</v>
      </c>
      <c r="Q35" s="9">
        <f>IF(Movies[[#This Row],[currency]]="INR",Movies[[#This Row],[Revenu(Min)]]/8,Movies[[#This Row],[Revenu(Min)]])</f>
        <v>426.125</v>
      </c>
    </row>
    <row r="36" spans="1:17">
      <c r="A36" s="4">
        <v>136</v>
      </c>
      <c r="B36" s="4" t="s">
        <v>99</v>
      </c>
      <c r="C36" s="4" t="s">
        <v>42</v>
      </c>
      <c r="D36" s="4">
        <v>2015</v>
      </c>
      <c r="E36" s="5">
        <v>8.1</v>
      </c>
      <c r="F36" s="4" t="s">
        <v>100</v>
      </c>
      <c r="G36" s="4">
        <v>1</v>
      </c>
      <c r="H36" s="6">
        <f t="array" ref="H36">_xlfn.XLOOKUP(Movies[[#This Row],[movie_id]:[movie_id]],Financials[[#All],[movie_id]:[movie_id]],Financials[[#All],[budget]],"Not Available",0)</f>
        <v>900</v>
      </c>
      <c r="I36" s="6">
        <f t="array" ref="I36">_xlfn.XLOOKUP(Movies[[#This Row],[movie_id]:[movie_id]],Financials[[#All],[movie_id]:[movie_id]],Financials[[#All],[revenue]],"Not Available",0)</f>
        <v>11690</v>
      </c>
      <c r="J36" s="6" t="str">
        <f t="array" ref="J36">_xlfn.XLOOKUP(Movies[[#This Row],[movie_id]:[movie_id]],Financials[[#All],[movie_id]:[movie_id]],Financials[[#All],[unit]],"Not Available",0)</f>
        <v>Millions</v>
      </c>
      <c r="K36" s="6" t="str">
        <f t="array" ref="K36">_xlfn.XLOOKUP(Movies[[#This Row],[movie_id]:[movie_id]],Financials[[#All],[movie_id]:[movie_id]],Financials[[#All],[currency]],"Not Available",0)</f>
        <v>INR</v>
      </c>
      <c r="L36" s="6">
        <f>IF(Movies[[#This Row],[unit]]="Billions",Movies[[#This Row],[budget]]*1000,Movies[[#This Row],[budget]])</f>
        <v>900</v>
      </c>
      <c r="M36" s="6">
        <f>IF(Movies[[#This Row],[unit]]="Billions",Movies[[#This Row],[revenue]]*1000,Movies[[#This Row],[revenue]])</f>
        <v>11690</v>
      </c>
      <c r="N36" s="6">
        <f>IF(Movies[[#This Row],[currency]]="USD",Movies[[#This Row],[budget(Min)]]*80,Movies[[#This Row],[budget(Min)]])</f>
        <v>900</v>
      </c>
      <c r="O36" s="6">
        <f>IF(Movies[[#This Row],[currency]]="USD",Movies[[#This Row],[Revenu(Min)]]*80,Movies[[#This Row],[Revenu(Min)]])</f>
        <v>11690</v>
      </c>
      <c r="P36" s="6">
        <f>IF(Movies[[#This Row],[currency]]="INR",Movies[[#This Row],[budget(Min)]]/8,Movies[[#This Row],[budget(Min)]])</f>
        <v>112.5</v>
      </c>
      <c r="Q36" s="6">
        <f>IF(Movies[[#This Row],[currency]]="INR",Movies[[#This Row],[Revenu(Min)]]/8,Movies[[#This Row],[Revenu(Min)]])</f>
        <v>1461.25</v>
      </c>
    </row>
    <row r="37" spans="1:17">
      <c r="A37" s="7">
        <v>137</v>
      </c>
      <c r="B37" s="7" t="s">
        <v>101</v>
      </c>
      <c r="C37" s="7" t="s">
        <v>45</v>
      </c>
      <c r="D37" s="7">
        <v>2011</v>
      </c>
      <c r="E37" s="8">
        <v>6.9</v>
      </c>
      <c r="F37" s="7" t="s">
        <v>46</v>
      </c>
      <c r="G37" s="7">
        <v>5</v>
      </c>
      <c r="H37" s="9">
        <f t="array" ref="H37">_xlfn.XLOOKUP(Movies[[#This Row],[movie_id]:[movie_id]],Financials[[#All],[movie_id]:[movie_id]],Financials[[#All],[budget]],"Not Available",0)</f>
        <v>216.7</v>
      </c>
      <c r="I37" s="9">
        <f t="array" ref="I37">_xlfn.XLOOKUP(Movies[[#This Row],[movie_id]:[movie_id]],Financials[[#All],[movie_id]:[movie_id]],Financials[[#All],[revenue]],"Not Available",0)</f>
        <v>370.6</v>
      </c>
      <c r="J37" s="9" t="str">
        <f t="array" ref="J37">_xlfn.XLOOKUP(Movies[[#This Row],[movie_id]:[movie_id]],Financials[[#All],[movie_id]:[movie_id]],Financials[[#All],[unit]],"Not Available",0)</f>
        <v>Millions</v>
      </c>
      <c r="K37" s="9" t="str">
        <f t="array" ref="K37">_xlfn.XLOOKUP(Movies[[#This Row],[movie_id]:[movie_id]],Financials[[#All],[movie_id]:[movie_id]],Financials[[#All],[currency]],"Not Available",0)</f>
        <v>USD</v>
      </c>
      <c r="L37" s="9">
        <f>IF(Movies[[#This Row],[unit]]="Billions",Movies[[#This Row],[budget]]*1000,Movies[[#This Row],[budget]])</f>
        <v>216.7</v>
      </c>
      <c r="M37" s="9">
        <f>IF(Movies[[#This Row],[unit]]="Billions",Movies[[#This Row],[revenue]]*1000,Movies[[#This Row],[revenue]])</f>
        <v>370.6</v>
      </c>
      <c r="N37" s="9">
        <f>IF(Movies[[#This Row],[currency]]="USD",Movies[[#This Row],[budget(Min)]]*80,Movies[[#This Row],[budget(Min)]])</f>
        <v>17336</v>
      </c>
      <c r="O37" s="9">
        <f>IF(Movies[[#This Row],[currency]]="USD",Movies[[#This Row],[Revenu(Min)]]*80,Movies[[#This Row],[Revenu(Min)]])</f>
        <v>29648</v>
      </c>
      <c r="P37" s="9">
        <f>IF(Movies[[#This Row],[currency]]="INR",Movies[[#This Row],[budget(Min)]]/8,Movies[[#This Row],[budget(Min)]])</f>
        <v>216.7</v>
      </c>
      <c r="Q37" s="9">
        <f>IF(Movies[[#This Row],[currency]]="INR",Movies[[#This Row],[Revenu(Min)]]/8,Movies[[#This Row],[Revenu(Min)]])</f>
        <v>370.6</v>
      </c>
    </row>
    <row r="38" spans="1:17">
      <c r="A38" s="4">
        <v>138</v>
      </c>
      <c r="B38" s="4" t="s">
        <v>102</v>
      </c>
      <c r="C38" s="4" t="s">
        <v>45</v>
      </c>
      <c r="D38" s="4">
        <v>2014</v>
      </c>
      <c r="E38" s="5">
        <v>7.8</v>
      </c>
      <c r="F38" s="4" t="s">
        <v>46</v>
      </c>
      <c r="G38" s="4">
        <v>5</v>
      </c>
      <c r="H38" s="6">
        <f t="array" ref="H38">_xlfn.XLOOKUP(Movies[[#This Row],[movie_id]:[movie_id]],Financials[[#All],[movie_id]:[movie_id]],Financials[[#All],[budget]],"Not Available",0)</f>
        <v>177</v>
      </c>
      <c r="I38" s="6">
        <f t="array" ref="I38">_xlfn.XLOOKUP(Movies[[#This Row],[movie_id]:[movie_id]],Financials[[#All],[movie_id]:[movie_id]],Financials[[#All],[revenue]],"Not Available",0)</f>
        <v>714.4</v>
      </c>
      <c r="J38" s="6" t="str">
        <f t="array" ref="J38">_xlfn.XLOOKUP(Movies[[#This Row],[movie_id]:[movie_id]],Financials[[#All],[movie_id]:[movie_id]],Financials[[#All],[unit]],"Not Available",0)</f>
        <v>Millions</v>
      </c>
      <c r="K38" s="6" t="str">
        <f t="array" ref="K38">_xlfn.XLOOKUP(Movies[[#This Row],[movie_id]:[movie_id]],Financials[[#All],[movie_id]:[movie_id]],Financials[[#All],[currency]],"Not Available",0)</f>
        <v>USD</v>
      </c>
      <c r="L38" s="6">
        <f>IF(Movies[[#This Row],[unit]]="Billions",Movies[[#This Row],[budget]]*1000,Movies[[#This Row],[budget]])</f>
        <v>177</v>
      </c>
      <c r="M38" s="6">
        <f>IF(Movies[[#This Row],[unit]]="Billions",Movies[[#This Row],[revenue]]*1000,Movies[[#This Row],[revenue]])</f>
        <v>714.4</v>
      </c>
      <c r="N38" s="6">
        <f>IF(Movies[[#This Row],[currency]]="USD",Movies[[#This Row],[budget(Min)]]*80,Movies[[#This Row],[budget(Min)]])</f>
        <v>14160</v>
      </c>
      <c r="O38" s="6">
        <f>IF(Movies[[#This Row],[currency]]="USD",Movies[[#This Row],[Revenu(Min)]]*80,Movies[[#This Row],[Revenu(Min)]])</f>
        <v>57152</v>
      </c>
      <c r="P38" s="6">
        <f>IF(Movies[[#This Row],[currency]]="INR",Movies[[#This Row],[budget(Min)]]/8,Movies[[#This Row],[budget(Min)]])</f>
        <v>177</v>
      </c>
      <c r="Q38" s="6">
        <f>IF(Movies[[#This Row],[currency]]="INR",Movies[[#This Row],[Revenu(Min)]]/8,Movies[[#This Row],[Revenu(Min)]])</f>
        <v>714.4</v>
      </c>
    </row>
    <row r="39" spans="1:17">
      <c r="A39" s="7">
        <v>139</v>
      </c>
      <c r="B39" s="7" t="s">
        <v>103</v>
      </c>
      <c r="C39" s="7" t="s">
        <v>42</v>
      </c>
      <c r="D39" s="7">
        <v>2018</v>
      </c>
      <c r="E39" s="8">
        <v>1.9</v>
      </c>
      <c r="F39" s="7" t="s">
        <v>100</v>
      </c>
      <c r="G39" s="7">
        <v>1</v>
      </c>
      <c r="H39" s="9">
        <f t="array" ref="H39">_xlfn.XLOOKUP(Movies[[#This Row],[movie_id]:[movie_id]],Financials[[#All],[movie_id]:[movie_id]],Financials[[#All],[budget]],"Not Available",0)</f>
        <v>1.8</v>
      </c>
      <c r="I39" s="9">
        <f t="array" ref="I39">_xlfn.XLOOKUP(Movies[[#This Row],[movie_id]:[movie_id]],Financials[[#All],[movie_id]:[movie_id]],Financials[[#All],[revenue]],"Not Available",0)</f>
        <v>3.1</v>
      </c>
      <c r="J39" s="9" t="str">
        <f t="array" ref="J39">_xlfn.XLOOKUP(Movies[[#This Row],[movie_id]:[movie_id]],Financials[[#All],[movie_id]:[movie_id]],Financials[[#All],[unit]],"Not Available",0)</f>
        <v>Billions</v>
      </c>
      <c r="K39" s="9" t="str">
        <f t="array" ref="K39">_xlfn.XLOOKUP(Movies[[#This Row],[movie_id]:[movie_id]],Financials[[#All],[movie_id]:[movie_id]],Financials[[#All],[currency]],"Not Available",0)</f>
        <v>INR</v>
      </c>
      <c r="L39" s="9">
        <f>IF(Movies[[#This Row],[unit]]="Billions",Movies[[#This Row],[budget]]*1000,Movies[[#This Row],[budget]])</f>
        <v>1800</v>
      </c>
      <c r="M39" s="9">
        <f>IF(Movies[[#This Row],[unit]]="Billions",Movies[[#This Row],[revenue]]*1000,Movies[[#This Row],[revenue]])</f>
        <v>3100</v>
      </c>
      <c r="N39" s="9">
        <f>IF(Movies[[#This Row],[currency]]="USD",Movies[[#This Row],[budget(Min)]]*80,Movies[[#This Row],[budget(Min)]])</f>
        <v>1800</v>
      </c>
      <c r="O39" s="9">
        <f>IF(Movies[[#This Row],[currency]]="USD",Movies[[#This Row],[Revenu(Min)]]*80,Movies[[#This Row],[Revenu(Min)]])</f>
        <v>3100</v>
      </c>
      <c r="P39" s="9">
        <f>IF(Movies[[#This Row],[currency]]="INR",Movies[[#This Row],[budget(Min)]]/8,Movies[[#This Row],[budget(Min)]])</f>
        <v>225</v>
      </c>
      <c r="Q39" s="9">
        <f>IF(Movies[[#This Row],[currency]]="INR",Movies[[#This Row],[Revenu(Min)]]/8,Movies[[#This Row],[Revenu(Min)]])</f>
        <v>387.5</v>
      </c>
    </row>
    <row r="40" spans="1:17">
      <c r="A40" s="4">
        <v>140</v>
      </c>
      <c r="B40" s="4" t="s">
        <v>104</v>
      </c>
      <c r="C40" s="4" t="s">
        <v>42</v>
      </c>
      <c r="D40" s="4">
        <v>2021</v>
      </c>
      <c r="E40" s="5">
        <v>8.4</v>
      </c>
      <c r="F40" s="4" t="s">
        <v>57</v>
      </c>
      <c r="G40" s="4">
        <v>1</v>
      </c>
      <c r="H40" s="6">
        <f t="array" ref="H40">_xlfn.XLOOKUP(Movies[[#This Row],[movie_id]:[movie_id]],Financials[[#All],[movie_id]:[movie_id]],Financials[[#All],[budget]],"Not Available",0)</f>
        <v>500</v>
      </c>
      <c r="I40" s="6">
        <f t="array" ref="I40">_xlfn.XLOOKUP(Movies[[#This Row],[movie_id]:[movie_id]],Financials[[#All],[movie_id]:[movie_id]],Financials[[#All],[revenue]],"Not Available",0)</f>
        <v>950</v>
      </c>
      <c r="J40" s="6" t="str">
        <f t="array" ref="J40">_xlfn.XLOOKUP(Movies[[#This Row],[movie_id]:[movie_id]],Financials[[#All],[movie_id]:[movie_id]],Financials[[#All],[unit]],"Not Available",0)</f>
        <v>Millions</v>
      </c>
      <c r="K40" s="6" t="str">
        <f t="array" ref="K40">_xlfn.XLOOKUP(Movies[[#This Row],[movie_id]:[movie_id]],Financials[[#All],[movie_id]:[movie_id]],Financials[[#All],[currency]],"Not Available",0)</f>
        <v>INR</v>
      </c>
      <c r="L40" s="6">
        <f>IF(Movies[[#This Row],[unit]]="Billions",Movies[[#This Row],[budget]]*1000,Movies[[#This Row],[budget]])</f>
        <v>500</v>
      </c>
      <c r="M40" s="6">
        <f>IF(Movies[[#This Row],[unit]]="Billions",Movies[[#This Row],[revenue]]*1000,Movies[[#This Row],[revenue]])</f>
        <v>950</v>
      </c>
      <c r="N40" s="6">
        <f>IF(Movies[[#This Row],[currency]]="USD",Movies[[#This Row],[budget(Min)]]*80,Movies[[#This Row],[budget(Min)]])</f>
        <v>500</v>
      </c>
      <c r="O40" s="6">
        <f>IF(Movies[[#This Row],[currency]]="USD",Movies[[#This Row],[Revenu(Min)]]*80,Movies[[#This Row],[Revenu(Min)]])</f>
        <v>950</v>
      </c>
      <c r="P40" s="6">
        <f>IF(Movies[[#This Row],[currency]]="INR",Movies[[#This Row],[budget(Min)]]/8,Movies[[#This Row],[budget(Min)]])</f>
        <v>62.5</v>
      </c>
      <c r="Q40" s="6">
        <f>IF(Movies[[#This Row],[currency]]="INR",Movies[[#This Row],[Revenu(Min)]]/8,Movies[[#This Row],[Revenu(Min)]])</f>
        <v>118.75</v>
      </c>
    </row>
    <row r="41" spans="1:17">
      <c r="A41" s="7"/>
      <c r="B41" s="7"/>
      <c r="C41" s="7"/>
      <c r="D41" s="7"/>
      <c r="E41" s="8"/>
      <c r="F41" s="7"/>
      <c r="G41" s="7"/>
      <c r="H41" s="9"/>
      <c r="I41" s="9"/>
      <c r="J41" s="9"/>
      <c r="K41" s="9"/>
      <c r="L41" s="9"/>
      <c r="M41" s="9"/>
      <c r="N41" s="10" t="s">
        <v>105</v>
      </c>
      <c r="O41" s="10" t="s">
        <v>106</v>
      </c>
      <c r="P41" s="10" t="s">
        <v>107</v>
      </c>
      <c r="Q41" s="10" t="s">
        <v>108</v>
      </c>
    </row>
    <row r="42" spans="1:17" ht="15">
      <c r="A42" s="4"/>
      <c r="B42" s="4"/>
      <c r="C42" s="4"/>
      <c r="D42" s="4"/>
      <c r="E42" s="5"/>
      <c r="F42" s="4"/>
      <c r="G42" s="4"/>
      <c r="H42" s="6"/>
      <c r="I42" s="6"/>
      <c r="J42" s="6"/>
      <c r="K42" s="6"/>
      <c r="L42" s="6"/>
      <c r="M42" s="6"/>
      <c r="N42" s="42">
        <f>SUM(Movies[Budget INR])</f>
        <v>264196.40000000002</v>
      </c>
      <c r="O42" s="42">
        <f>SUM(Movies[Revenue INR])</f>
        <v>1567141</v>
      </c>
      <c r="P42" s="42">
        <f>SUM(Movies[Budget USD])</f>
        <v>5398.33</v>
      </c>
      <c r="Q42" s="42">
        <f>SUM(Movies[Revenue USD])</f>
        <v>28691.525000000001</v>
      </c>
    </row>
    <row r="43" spans="1:17" ht="15">
      <c r="A43" s="7"/>
      <c r="B43" s="7"/>
      <c r="C43" s="7"/>
      <c r="D43" s="7"/>
      <c r="E43" s="8"/>
      <c r="F43" s="7"/>
      <c r="G43" s="7"/>
      <c r="H43" s="9"/>
      <c r="I43" s="9"/>
      <c r="J43" s="9"/>
      <c r="K43" s="9"/>
      <c r="L43" s="9"/>
      <c r="M43" s="45"/>
      <c r="N43" s="45"/>
      <c r="O43" s="9"/>
      <c r="P43" s="9"/>
      <c r="Q43" s="9"/>
    </row>
    <row r="44" spans="1:17" ht="15">
      <c r="A44" s="4"/>
      <c r="B44" s="4"/>
      <c r="C44" s="4"/>
      <c r="D44" s="4"/>
      <c r="E44" s="5"/>
      <c r="F44" s="4"/>
      <c r="G44" s="4"/>
      <c r="H44" s="6"/>
      <c r="I44" s="6"/>
      <c r="J44" s="6"/>
      <c r="K44" s="6"/>
      <c r="L44" s="6"/>
      <c r="M44" s="46" t="s">
        <v>109</v>
      </c>
      <c r="N44" s="48">
        <f>COUNT(Movies[movie_id])</f>
        <v>39</v>
      </c>
      <c r="O44" s="6"/>
      <c r="P44" s="6"/>
      <c r="Q44" s="6"/>
    </row>
    <row r="45" spans="1:17" ht="15">
      <c r="A45" s="7"/>
      <c r="B45" s="7"/>
      <c r="C45" s="7"/>
      <c r="D45" s="7"/>
      <c r="E45" s="8"/>
      <c r="F45" s="7"/>
      <c r="G45" s="7"/>
      <c r="H45" s="9"/>
      <c r="I45" s="9"/>
      <c r="J45" s="9"/>
      <c r="K45" s="9"/>
      <c r="L45" s="9"/>
      <c r="M45" s="47" t="s">
        <v>110</v>
      </c>
      <c r="N45" s="49">
        <f>COUNTIF(Movies[industry],C40)</f>
        <v>18</v>
      </c>
      <c r="O45" s="9"/>
      <c r="P45" s="9"/>
      <c r="Q45" s="9"/>
    </row>
    <row r="46" spans="1:17" ht="15">
      <c r="A46" s="4"/>
      <c r="B46" s="4"/>
      <c r="C46" s="4"/>
      <c r="D46" s="4"/>
      <c r="E46" s="5"/>
      <c r="F46" s="4"/>
      <c r="G46" s="4"/>
      <c r="H46" s="6"/>
      <c r="I46" s="6"/>
      <c r="J46" s="6"/>
      <c r="K46" s="6"/>
      <c r="L46" s="6"/>
      <c r="M46" s="51" t="s">
        <v>111</v>
      </c>
      <c r="N46" s="48">
        <f>SUMIF(Movies[industry],"Bollywood",Movies[Revenue INR])</f>
        <v>80909</v>
      </c>
      <c r="O46" s="6"/>
      <c r="P46" s="6"/>
      <c r="Q46" s="6"/>
    </row>
    <row r="47" spans="1:17" ht="15">
      <c r="A47" s="7"/>
      <c r="B47" s="7"/>
      <c r="C47" s="7"/>
      <c r="D47" s="7"/>
      <c r="E47" s="8"/>
      <c r="F47" s="7"/>
      <c r="G47" s="7"/>
      <c r="H47" s="9"/>
      <c r="I47" s="9"/>
      <c r="J47" s="9"/>
      <c r="K47" s="9"/>
      <c r="L47" s="9"/>
      <c r="M47" s="47" t="s">
        <v>112</v>
      </c>
      <c r="N47" s="49">
        <f>N46/N45</f>
        <v>4494.9444444444443</v>
      </c>
      <c r="O47" s="9"/>
      <c r="P47" s="9"/>
      <c r="Q47" s="9"/>
    </row>
    <row r="48" spans="1:17" ht="15">
      <c r="A48" s="4"/>
      <c r="B48" s="4"/>
      <c r="C48" s="4"/>
      <c r="D48" s="4"/>
      <c r="E48" s="5"/>
      <c r="F48" s="4"/>
      <c r="G48" s="4"/>
      <c r="H48" s="6"/>
      <c r="I48" s="6"/>
      <c r="J48" s="6"/>
      <c r="K48" s="6"/>
      <c r="L48" s="6"/>
      <c r="M48" s="46" t="s">
        <v>113</v>
      </c>
      <c r="N48" s="50">
        <f>N46/O42</f>
        <v>5.1628411227834639E-2</v>
      </c>
      <c r="O48" s="6"/>
      <c r="P48" s="6"/>
      <c r="Q48" s="6"/>
    </row>
    <row r="49" ht="15"/>
  </sheetData>
  <conditionalFormatting sqref="A1:B1">
    <cfRule type="duplicateValues" dxfId="29" priority="5"/>
    <cfRule type="duplicateValues" dxfId="28" priority="6"/>
  </conditionalFormatting>
  <conditionalFormatting sqref="A2:B40">
    <cfRule type="duplicateValues" dxfId="27" priority="9"/>
    <cfRule type="duplicateValues" dxfId="26" priority="10"/>
  </conditionalFormatting>
  <conditionalFormatting sqref="E2:E48">
    <cfRule type="colorScale" priority="11">
      <colorScale>
        <cfvo type="num" val="0"/>
        <cfvo type="num" val="5"/>
        <cfvo type="num" val="10"/>
        <color rgb="FFF8696B"/>
        <color rgb="FFFFEB84"/>
        <color rgb="FF63BE7B"/>
      </colorScale>
    </cfRule>
  </conditionalFormatting>
  <pageMargins left="0.25" right="0.25" top="0.5" bottom="0.5" header="0.3" footer="0.3"/>
  <pageSetup fitToHeight="0"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8"/>
    <pageSetUpPr fitToPage="1"/>
  </sheetPr>
  <dimension ref="A1:E6"/>
  <sheetViews>
    <sheetView showGridLines="0" zoomScale="95" workbookViewId="0">
      <pane ySplit="1" topLeftCell="A2" activePane="bottomLeft" state="frozen"/>
      <selection pane="bottomLeft" activeCell="D8" sqref="D8"/>
    </sheetView>
  </sheetViews>
  <sheetFormatPr defaultRowHeight="14.45"/>
  <cols>
    <col min="1" max="1" width="20" bestFit="1" customWidth="1"/>
    <col min="2" max="2" width="24" bestFit="1" customWidth="1"/>
    <col min="3" max="3" width="18" bestFit="1" customWidth="1"/>
    <col min="4" max="5" width="20" bestFit="1" customWidth="1"/>
  </cols>
  <sheetData>
    <row r="1" spans="1:5" ht="33.950000000000003" customHeight="1">
      <c r="A1" s="11" t="s">
        <v>114</v>
      </c>
      <c r="B1" s="11" t="s">
        <v>115</v>
      </c>
      <c r="C1" s="11" t="s">
        <v>116</v>
      </c>
      <c r="D1" s="11" t="s">
        <v>117</v>
      </c>
      <c r="E1" s="11" t="s">
        <v>118</v>
      </c>
    </row>
    <row r="2" spans="1:5">
      <c r="A2" s="12" t="s">
        <v>119</v>
      </c>
      <c r="B2" s="41">
        <f>SUMIF(Movies[studio],movies!F3,Movies[Revenue USD])</f>
        <v>9054.6</v>
      </c>
      <c r="C2" s="41">
        <v>8000</v>
      </c>
      <c r="D2" s="41">
        <f>B2-C2</f>
        <v>1054.6000000000004</v>
      </c>
      <c r="E2" s="40">
        <f>D2/B2</f>
        <v>0.11647118591655074</v>
      </c>
    </row>
    <row r="3" spans="1:5">
      <c r="A3" s="13" t="s">
        <v>120</v>
      </c>
      <c r="B3" s="43">
        <f>SUMIF(Movies[studio],movies!F4,Movies[Budget USD])</f>
        <v>1988.7</v>
      </c>
      <c r="C3" s="43">
        <v>2000</v>
      </c>
      <c r="D3" s="41">
        <f t="shared" ref="D3:D6" si="0">B3-C3</f>
        <v>-11.299999999999955</v>
      </c>
      <c r="E3" s="40">
        <f t="shared" ref="E3:E6" si="1">D3/B3</f>
        <v>-5.6821038869613082E-3</v>
      </c>
    </row>
    <row r="4" spans="1:5">
      <c r="A4" s="12" t="s">
        <v>121</v>
      </c>
      <c r="B4" s="41">
        <f>B2-B3</f>
        <v>7065.9000000000005</v>
      </c>
      <c r="C4" s="41">
        <v>5500</v>
      </c>
      <c r="D4" s="41">
        <f t="shared" si="0"/>
        <v>1565.9000000000005</v>
      </c>
      <c r="E4" s="40">
        <f t="shared" si="1"/>
        <v>0.22161366563353577</v>
      </c>
    </row>
    <row r="5" spans="1:5">
      <c r="A5" s="13" t="s">
        <v>122</v>
      </c>
      <c r="B5" s="44">
        <f>B4/B3</f>
        <v>3.5530245889274403</v>
      </c>
      <c r="C5" s="44">
        <f>C4/C3</f>
        <v>2.75</v>
      </c>
      <c r="D5" s="40">
        <f t="shared" si="0"/>
        <v>0.80302458892744033</v>
      </c>
      <c r="E5" s="40">
        <f t="shared" si="1"/>
        <v>0.22601154842270629</v>
      </c>
    </row>
    <row r="6" spans="1:5">
      <c r="A6" s="12" t="s">
        <v>123</v>
      </c>
      <c r="B6" s="40">
        <f>B2/SUMIF(Movies[industry],movies!C3,Movies[Revenue USD])</f>
        <v>0.48738554949698293</v>
      </c>
      <c r="C6" s="40">
        <v>0.55000000000000004</v>
      </c>
      <c r="D6" s="40">
        <f t="shared" si="0"/>
        <v>-6.2614450503017116E-2</v>
      </c>
      <c r="E6" s="40">
        <f t="shared" si="1"/>
        <v>-0.12847005941731293</v>
      </c>
    </row>
  </sheetData>
  <conditionalFormatting sqref="E2:E6">
    <cfRule type="cellIs" dxfId="4" priority="1" operator="lessThan">
      <formula>-0.1</formula>
    </cfRule>
  </conditionalFormatting>
  <pageMargins left="0.25" right="0.25" top="0.5" bottom="0.5" header="0.3" footer="0.3"/>
  <pageSetup fitToHeight="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pageSetUpPr fitToPage="1"/>
  </sheetPr>
  <dimension ref="A1:B8"/>
  <sheetViews>
    <sheetView showGridLines="0" zoomScale="110" workbookViewId="0">
      <pane ySplit="1" topLeftCell="A2" activePane="bottomLeft" state="frozen"/>
      <selection pane="bottomLeft" activeCell="B6" sqref="B6"/>
    </sheetView>
  </sheetViews>
  <sheetFormatPr defaultRowHeight="14.45"/>
  <cols>
    <col min="1" max="1" width="25" customWidth="1"/>
    <col min="2" max="2" width="64" customWidth="1"/>
  </cols>
  <sheetData>
    <row r="1" spans="1:2" ht="30" customHeight="1">
      <c r="A1" s="14" t="s">
        <v>124</v>
      </c>
      <c r="B1" s="14" t="s">
        <v>125</v>
      </c>
    </row>
    <row r="2" spans="1:2">
      <c r="A2" s="15" t="s">
        <v>126</v>
      </c>
      <c r="B2" s="16">
        <f>AVERAGE(Movies[imdb_rating])</f>
        <v>7.9473684210526319</v>
      </c>
    </row>
    <row r="3" spans="1:2">
      <c r="A3" s="15" t="s">
        <v>127</v>
      </c>
      <c r="B3" s="16">
        <f>MODE(Movies[imdb_rating])</f>
        <v>8.4</v>
      </c>
    </row>
    <row r="4" spans="1:2">
      <c r="A4" s="15" t="s">
        <v>128</v>
      </c>
      <c r="B4" s="16">
        <f>MEDIAN(Movies[imdb_rating])</f>
        <v>8.1</v>
      </c>
    </row>
    <row r="5" spans="1:2">
      <c r="A5" s="15" t="s">
        <v>129</v>
      </c>
      <c r="B5" s="16">
        <f>_xlfn.VAR.P(Movies[imdb_rating])</f>
        <v>1.3577562326869845</v>
      </c>
    </row>
    <row r="6" spans="1:2">
      <c r="A6" s="15" t="s">
        <v>130</v>
      </c>
      <c r="B6" s="16">
        <f>_xlfn.STDEV.P(Movies[imdb_rating])</f>
        <v>1.1652279745556164</v>
      </c>
    </row>
    <row r="8" spans="1:2" ht="35.1" customHeight="1">
      <c r="A8" s="17" t="s">
        <v>131</v>
      </c>
      <c r="B8" s="18" t="s">
        <v>132</v>
      </c>
    </row>
  </sheetData>
  <pageMargins left="0.25" right="0.25" top="0.5" bottom="0.5" header="0.3" footer="0.3"/>
  <pageSetup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8"/>
    <pageSetUpPr fitToPage="1"/>
  </sheetPr>
  <dimension ref="A1:E41"/>
  <sheetViews>
    <sheetView showGridLines="0" zoomScale="90" zoomScaleNormal="160" workbookViewId="0">
      <pane ySplit="1" topLeftCell="A2" activePane="bottomLeft" state="frozen"/>
      <selection pane="bottomLeft" activeCell="A4" sqref="A4"/>
    </sheetView>
  </sheetViews>
  <sheetFormatPr defaultRowHeight="14.45"/>
  <cols>
    <col min="1" max="5" width="11" customWidth="1"/>
  </cols>
  <sheetData>
    <row r="1" spans="1:5" ht="32.1" customHeight="1">
      <c r="A1" s="3" t="s">
        <v>24</v>
      </c>
      <c r="B1" s="3" t="s">
        <v>31</v>
      </c>
      <c r="C1" s="3" t="s">
        <v>32</v>
      </c>
      <c r="D1" s="3" t="s">
        <v>33</v>
      </c>
      <c r="E1" s="3" t="s">
        <v>34</v>
      </c>
    </row>
    <row r="2" spans="1:5">
      <c r="A2" s="4">
        <v>101</v>
      </c>
      <c r="B2" s="19">
        <v>1</v>
      </c>
      <c r="C2" s="19">
        <v>12.5</v>
      </c>
      <c r="D2" s="4" t="s">
        <v>133</v>
      </c>
      <c r="E2" s="4" t="s">
        <v>134</v>
      </c>
    </row>
    <row r="3" spans="1:5">
      <c r="A3" s="7">
        <v>102</v>
      </c>
      <c r="B3" s="20">
        <v>200</v>
      </c>
      <c r="C3" s="20">
        <v>954.8</v>
      </c>
      <c r="D3" s="7" t="s">
        <v>135</v>
      </c>
      <c r="E3" s="7" t="s">
        <v>136</v>
      </c>
    </row>
    <row r="4" spans="1:5">
      <c r="A4" s="4">
        <v>103</v>
      </c>
      <c r="B4" s="19">
        <v>165</v>
      </c>
      <c r="C4" s="19">
        <v>644.79999999999995</v>
      </c>
      <c r="D4" s="4" t="s">
        <v>135</v>
      </c>
      <c r="E4" s="4" t="s">
        <v>136</v>
      </c>
    </row>
    <row r="5" spans="1:5">
      <c r="A5" s="7">
        <v>104</v>
      </c>
      <c r="B5" s="20">
        <v>180</v>
      </c>
      <c r="C5" s="20">
        <v>854</v>
      </c>
      <c r="D5" s="7" t="s">
        <v>135</v>
      </c>
      <c r="E5" s="7" t="s">
        <v>136</v>
      </c>
    </row>
    <row r="6" spans="1:5">
      <c r="A6" s="4">
        <v>105</v>
      </c>
      <c r="B6" s="19">
        <v>250</v>
      </c>
      <c r="C6" s="19">
        <v>670</v>
      </c>
      <c r="D6" s="4" t="s">
        <v>135</v>
      </c>
      <c r="E6" s="4" t="s">
        <v>136</v>
      </c>
    </row>
    <row r="7" spans="1:5">
      <c r="A7" s="7">
        <v>107</v>
      </c>
      <c r="B7" s="20">
        <v>400</v>
      </c>
      <c r="C7" s="20">
        <v>2000</v>
      </c>
      <c r="D7" s="7" t="s">
        <v>135</v>
      </c>
      <c r="E7" s="7" t="s">
        <v>134</v>
      </c>
    </row>
    <row r="8" spans="1:5">
      <c r="A8" s="4">
        <v>108</v>
      </c>
      <c r="B8" s="19">
        <v>550</v>
      </c>
      <c r="C8" s="19">
        <v>4000</v>
      </c>
      <c r="D8" s="4" t="s">
        <v>135</v>
      </c>
      <c r="E8" s="4" t="s">
        <v>134</v>
      </c>
    </row>
    <row r="9" spans="1:5">
      <c r="A9" s="7">
        <v>109</v>
      </c>
      <c r="B9" s="20">
        <v>390</v>
      </c>
      <c r="C9" s="20">
        <v>1360</v>
      </c>
      <c r="D9" s="7" t="s">
        <v>135</v>
      </c>
      <c r="E9" s="7" t="s">
        <v>134</v>
      </c>
    </row>
    <row r="10" spans="1:5">
      <c r="A10" s="4">
        <v>110</v>
      </c>
      <c r="B10" s="19">
        <v>1.4</v>
      </c>
      <c r="C10" s="19">
        <v>3.5</v>
      </c>
      <c r="D10" s="4" t="s">
        <v>133</v>
      </c>
      <c r="E10" s="4" t="s">
        <v>134</v>
      </c>
    </row>
    <row r="11" spans="1:5">
      <c r="A11" s="7">
        <v>111</v>
      </c>
      <c r="B11" s="20">
        <v>25</v>
      </c>
      <c r="C11" s="20">
        <v>73.3</v>
      </c>
      <c r="D11" s="7" t="s">
        <v>135</v>
      </c>
      <c r="E11" s="7" t="s">
        <v>136</v>
      </c>
    </row>
    <row r="12" spans="1:5">
      <c r="A12" s="4">
        <v>113</v>
      </c>
      <c r="B12" s="19">
        <v>165</v>
      </c>
      <c r="C12" s="19">
        <v>701.8</v>
      </c>
      <c r="D12" s="4" t="s">
        <v>135</v>
      </c>
      <c r="E12" s="4" t="s">
        <v>136</v>
      </c>
    </row>
    <row r="13" spans="1:5">
      <c r="A13" s="7">
        <v>114</v>
      </c>
      <c r="B13" s="20">
        <v>205</v>
      </c>
      <c r="C13" s="20">
        <v>365.3</v>
      </c>
      <c r="D13" s="7" t="s">
        <v>135</v>
      </c>
      <c r="E13" s="7" t="s">
        <v>136</v>
      </c>
    </row>
    <row r="14" spans="1:5">
      <c r="A14" s="4">
        <v>115</v>
      </c>
      <c r="B14" s="19">
        <v>55</v>
      </c>
      <c r="C14" s="19">
        <v>307.10000000000002</v>
      </c>
      <c r="D14" s="4" t="s">
        <v>135</v>
      </c>
      <c r="E14" s="4" t="s">
        <v>136</v>
      </c>
    </row>
    <row r="15" spans="1:5">
      <c r="A15" s="7">
        <v>116</v>
      </c>
      <c r="B15" s="20">
        <v>103</v>
      </c>
      <c r="C15" s="20">
        <v>460.5</v>
      </c>
      <c r="D15" s="7" t="s">
        <v>135</v>
      </c>
      <c r="E15" s="7" t="s">
        <v>136</v>
      </c>
    </row>
    <row r="16" spans="1:5">
      <c r="A16" s="4">
        <v>117</v>
      </c>
      <c r="B16" s="19">
        <v>200</v>
      </c>
      <c r="C16" s="19">
        <v>2202</v>
      </c>
      <c r="D16" s="4" t="s">
        <v>135</v>
      </c>
      <c r="E16" s="4" t="s">
        <v>136</v>
      </c>
    </row>
    <row r="17" spans="1:5">
      <c r="A17" s="7">
        <v>118</v>
      </c>
      <c r="B17" s="20">
        <v>3.18</v>
      </c>
      <c r="C17" s="20">
        <v>3.3</v>
      </c>
      <c r="D17" s="7" t="s">
        <v>135</v>
      </c>
      <c r="E17" s="7" t="s">
        <v>136</v>
      </c>
    </row>
    <row r="18" spans="1:5">
      <c r="A18" s="4">
        <v>119</v>
      </c>
      <c r="B18" s="19">
        <v>237</v>
      </c>
      <c r="C18" s="19">
        <v>2847</v>
      </c>
      <c r="D18" s="4" t="s">
        <v>135</v>
      </c>
      <c r="E18" s="4" t="s">
        <v>136</v>
      </c>
    </row>
    <row r="19" spans="1:5">
      <c r="A19" s="7">
        <v>120</v>
      </c>
      <c r="B19" s="20">
        <v>7.2</v>
      </c>
      <c r="C19" s="20">
        <v>291</v>
      </c>
      <c r="D19" s="7" t="s">
        <v>135</v>
      </c>
      <c r="E19" s="7" t="s">
        <v>136</v>
      </c>
    </row>
    <row r="20" spans="1:5">
      <c r="A20" s="4">
        <v>121</v>
      </c>
      <c r="B20" s="19">
        <v>185</v>
      </c>
      <c r="C20" s="19">
        <v>1006</v>
      </c>
      <c r="D20" s="4" t="s">
        <v>135</v>
      </c>
      <c r="E20" s="4" t="s">
        <v>136</v>
      </c>
    </row>
    <row r="21" spans="1:5">
      <c r="A21" s="7">
        <v>122</v>
      </c>
      <c r="B21" s="20">
        <v>22</v>
      </c>
      <c r="C21" s="20">
        <v>322.2</v>
      </c>
      <c r="D21" s="7" t="s">
        <v>135</v>
      </c>
      <c r="E21" s="7" t="s">
        <v>136</v>
      </c>
    </row>
    <row r="22" spans="1:5">
      <c r="A22" s="4">
        <v>123</v>
      </c>
      <c r="B22" s="19">
        <v>63</v>
      </c>
      <c r="C22" s="19">
        <v>1046</v>
      </c>
      <c r="D22" s="4" t="s">
        <v>135</v>
      </c>
      <c r="E22" s="4" t="s">
        <v>136</v>
      </c>
    </row>
    <row r="23" spans="1:5">
      <c r="A23" s="7">
        <v>124</v>
      </c>
      <c r="B23" s="20">
        <v>15.5</v>
      </c>
      <c r="C23" s="20">
        <v>263.10000000000002</v>
      </c>
      <c r="D23" s="7" t="s">
        <v>135</v>
      </c>
      <c r="E23" s="7" t="s">
        <v>136</v>
      </c>
    </row>
    <row r="24" spans="1:5">
      <c r="A24" s="4">
        <v>125</v>
      </c>
      <c r="B24" s="19">
        <v>400</v>
      </c>
      <c r="C24" s="19">
        <v>2798</v>
      </c>
      <c r="D24" s="4" t="s">
        <v>135</v>
      </c>
      <c r="E24" s="4" t="s">
        <v>136</v>
      </c>
    </row>
    <row r="25" spans="1:5">
      <c r="A25" s="7">
        <v>126</v>
      </c>
      <c r="B25" s="20">
        <v>400</v>
      </c>
      <c r="C25" s="20">
        <v>2048</v>
      </c>
      <c r="D25" s="7" t="s">
        <v>135</v>
      </c>
      <c r="E25" s="7" t="s">
        <v>136</v>
      </c>
    </row>
    <row r="26" spans="1:5">
      <c r="A26" s="4">
        <v>127</v>
      </c>
      <c r="B26" s="19">
        <v>70</v>
      </c>
      <c r="C26" s="19">
        <v>100</v>
      </c>
      <c r="D26" s="4" t="s">
        <v>135</v>
      </c>
      <c r="E26" s="4" t="s">
        <v>134</v>
      </c>
    </row>
    <row r="27" spans="1:5">
      <c r="A27" s="7">
        <v>128</v>
      </c>
      <c r="B27" s="20">
        <v>120</v>
      </c>
      <c r="C27" s="20">
        <v>1350</v>
      </c>
      <c r="D27" s="7" t="s">
        <v>135</v>
      </c>
      <c r="E27" s="7" t="s">
        <v>134</v>
      </c>
    </row>
    <row r="28" spans="1:5">
      <c r="A28" s="4">
        <v>129</v>
      </c>
      <c r="B28" s="19">
        <v>100</v>
      </c>
      <c r="C28" s="19">
        <v>410</v>
      </c>
      <c r="D28" s="4" t="s">
        <v>135</v>
      </c>
      <c r="E28" s="4" t="s">
        <v>134</v>
      </c>
    </row>
    <row r="29" spans="1:5">
      <c r="A29" s="7">
        <v>130</v>
      </c>
      <c r="B29" s="20">
        <v>850</v>
      </c>
      <c r="C29" s="20">
        <v>8540</v>
      </c>
      <c r="D29" s="7" t="s">
        <v>135</v>
      </c>
      <c r="E29" s="7" t="s">
        <v>134</v>
      </c>
    </row>
    <row r="30" spans="1:5">
      <c r="A30" s="4">
        <v>131</v>
      </c>
      <c r="B30" s="19">
        <v>1</v>
      </c>
      <c r="C30" s="19">
        <v>5.9</v>
      </c>
      <c r="D30" s="4" t="s">
        <v>133</v>
      </c>
      <c r="E30" s="4" t="s">
        <v>134</v>
      </c>
    </row>
    <row r="31" spans="1:5">
      <c r="A31" s="7">
        <v>132</v>
      </c>
      <c r="B31" s="20">
        <v>2</v>
      </c>
      <c r="C31" s="20">
        <v>3.6</v>
      </c>
      <c r="D31" s="7" t="s">
        <v>133</v>
      </c>
      <c r="E31" s="7" t="s">
        <v>134</v>
      </c>
    </row>
    <row r="32" spans="1:5">
      <c r="A32" s="4">
        <v>133</v>
      </c>
      <c r="B32" s="19">
        <v>5.5</v>
      </c>
      <c r="C32" s="19">
        <v>12</v>
      </c>
      <c r="D32" s="4" t="s">
        <v>133</v>
      </c>
      <c r="E32" s="4" t="s">
        <v>134</v>
      </c>
    </row>
    <row r="33" spans="1:5">
      <c r="A33" s="7">
        <v>134</v>
      </c>
      <c r="B33" s="20">
        <v>1.8</v>
      </c>
      <c r="C33" s="20">
        <v>6.5</v>
      </c>
      <c r="D33" s="7" t="s">
        <v>133</v>
      </c>
      <c r="E33" s="7" t="s">
        <v>134</v>
      </c>
    </row>
    <row r="34" spans="1:5">
      <c r="A34" s="4">
        <v>135</v>
      </c>
      <c r="B34" s="19">
        <v>250</v>
      </c>
      <c r="C34" s="19">
        <v>3409</v>
      </c>
      <c r="D34" s="4" t="s">
        <v>135</v>
      </c>
      <c r="E34" s="4" t="s">
        <v>134</v>
      </c>
    </row>
    <row r="35" spans="1:5">
      <c r="A35" s="7">
        <v>136</v>
      </c>
      <c r="B35" s="20">
        <v>900</v>
      </c>
      <c r="C35" s="20">
        <v>11690</v>
      </c>
      <c r="D35" s="7" t="s">
        <v>135</v>
      </c>
      <c r="E35" s="7" t="s">
        <v>134</v>
      </c>
    </row>
    <row r="36" spans="1:5">
      <c r="A36" s="4">
        <v>137</v>
      </c>
      <c r="B36" s="19">
        <v>216.7</v>
      </c>
      <c r="C36" s="19">
        <v>370.6</v>
      </c>
      <c r="D36" s="4" t="s">
        <v>135</v>
      </c>
      <c r="E36" s="4" t="s">
        <v>136</v>
      </c>
    </row>
    <row r="37" spans="1:5">
      <c r="A37" s="7">
        <v>138</v>
      </c>
      <c r="B37" s="20">
        <v>177</v>
      </c>
      <c r="C37" s="20">
        <v>714.4</v>
      </c>
      <c r="D37" s="7" t="s">
        <v>135</v>
      </c>
      <c r="E37" s="7" t="s">
        <v>136</v>
      </c>
    </row>
    <row r="38" spans="1:5">
      <c r="A38" s="4">
        <v>139</v>
      </c>
      <c r="B38" s="19">
        <v>1.8</v>
      </c>
      <c r="C38" s="19">
        <v>3.1</v>
      </c>
      <c r="D38" s="4" t="s">
        <v>133</v>
      </c>
      <c r="E38" s="4" t="s">
        <v>134</v>
      </c>
    </row>
    <row r="39" spans="1:5">
      <c r="A39" s="7">
        <v>140</v>
      </c>
      <c r="B39" s="20">
        <v>500</v>
      </c>
      <c r="C39" s="20">
        <v>950</v>
      </c>
      <c r="D39" s="7" t="s">
        <v>135</v>
      </c>
      <c r="E39" s="7" t="s">
        <v>134</v>
      </c>
    </row>
    <row r="40" spans="1:5">
      <c r="A40" s="4">
        <v>406</v>
      </c>
      <c r="B40" s="19">
        <v>30</v>
      </c>
      <c r="C40" s="19">
        <v>350</v>
      </c>
      <c r="D40" s="4" t="s">
        <v>135</v>
      </c>
      <c r="E40" s="4" t="s">
        <v>134</v>
      </c>
    </row>
    <row r="41" spans="1:5">
      <c r="A41" s="7">
        <v>412</v>
      </c>
      <c r="B41" s="20">
        <v>160</v>
      </c>
      <c r="C41" s="20">
        <v>836.8</v>
      </c>
      <c r="D41" s="7" t="s">
        <v>135</v>
      </c>
      <c r="E41" s="7" t="s">
        <v>136</v>
      </c>
    </row>
  </sheetData>
  <pageMargins left="0.25" right="0.25" top="0.5" bottom="0.5" header="0.3" footer="0.3"/>
  <pageSetup fitToHeight="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8"/>
    <pageSetUpPr fitToPage="1"/>
  </sheetPr>
  <dimension ref="A1:C68"/>
  <sheetViews>
    <sheetView showGridLines="0" zoomScale="90" zoomScaleNormal="160" workbookViewId="0">
      <pane ySplit="1" topLeftCell="A2" activePane="bottomLeft" state="frozen"/>
      <selection pane="bottomLeft" activeCell="A2" sqref="A2:B3"/>
    </sheetView>
  </sheetViews>
  <sheetFormatPr defaultRowHeight="14.45"/>
  <cols>
    <col min="1" max="1" width="11" customWidth="1"/>
    <col min="2" max="2" width="23" customWidth="1"/>
    <col min="3" max="3" width="12" customWidth="1"/>
    <col min="5" max="5" width="22.140625" customWidth="1"/>
  </cols>
  <sheetData>
    <row r="1" spans="1:3" ht="32.1" customHeight="1">
      <c r="A1" s="3" t="s">
        <v>137</v>
      </c>
      <c r="B1" s="3" t="s">
        <v>138</v>
      </c>
      <c r="C1" s="3" t="s">
        <v>139</v>
      </c>
    </row>
    <row r="2" spans="1:3">
      <c r="A2" s="4">
        <v>50</v>
      </c>
      <c r="B2" s="4" t="s">
        <v>140</v>
      </c>
      <c r="C2" s="4">
        <v>1986</v>
      </c>
    </row>
    <row r="3" spans="1:3">
      <c r="A3" s="7">
        <v>51</v>
      </c>
      <c r="B3" s="7" t="s">
        <v>141</v>
      </c>
      <c r="C3" s="7">
        <v>1959</v>
      </c>
    </row>
    <row r="4" spans="1:3">
      <c r="A4" s="4">
        <v>52</v>
      </c>
      <c r="B4" s="4" t="s">
        <v>142</v>
      </c>
      <c r="C4" s="4">
        <v>1976</v>
      </c>
    </row>
    <row r="5" spans="1:3">
      <c r="A5" s="7">
        <v>53</v>
      </c>
      <c r="B5" s="7" t="s">
        <v>143</v>
      </c>
      <c r="C5" s="7">
        <v>1989</v>
      </c>
    </row>
    <row r="6" spans="1:3">
      <c r="A6" s="4">
        <v>54</v>
      </c>
      <c r="B6" s="4" t="s">
        <v>144</v>
      </c>
      <c r="C6" s="4">
        <v>1983</v>
      </c>
    </row>
    <row r="7" spans="1:3">
      <c r="A7" s="7">
        <v>55</v>
      </c>
      <c r="B7" s="7" t="s">
        <v>145</v>
      </c>
      <c r="C7" s="7">
        <v>1981</v>
      </c>
    </row>
    <row r="8" spans="1:3">
      <c r="A8" s="4">
        <v>56</v>
      </c>
      <c r="B8" s="4" t="s">
        <v>146</v>
      </c>
      <c r="C8" s="4">
        <v>1981</v>
      </c>
    </row>
    <row r="9" spans="1:3">
      <c r="A9" s="7">
        <v>57</v>
      </c>
      <c r="B9" s="7" t="s">
        <v>147</v>
      </c>
      <c r="C9" s="7">
        <v>1942</v>
      </c>
    </row>
    <row r="10" spans="1:3">
      <c r="A10" s="4">
        <v>58</v>
      </c>
      <c r="B10" s="4" t="s">
        <v>148</v>
      </c>
      <c r="C10" s="4">
        <v>1948</v>
      </c>
    </row>
    <row r="11" spans="1:3">
      <c r="A11" s="7">
        <v>59</v>
      </c>
      <c r="B11" s="7" t="s">
        <v>149</v>
      </c>
      <c r="C11" s="7">
        <v>1965</v>
      </c>
    </row>
    <row r="12" spans="1:3">
      <c r="A12" s="4">
        <v>60</v>
      </c>
      <c r="B12" s="4" t="s">
        <v>150</v>
      </c>
      <c r="C12" s="4">
        <v>1974</v>
      </c>
    </row>
    <row r="13" spans="1:3">
      <c r="A13" s="7">
        <v>61</v>
      </c>
      <c r="B13" s="7" t="s">
        <v>151</v>
      </c>
      <c r="C13" s="7">
        <v>1965</v>
      </c>
    </row>
    <row r="14" spans="1:3">
      <c r="A14" s="4">
        <v>62</v>
      </c>
      <c r="B14" s="4" t="s">
        <v>152</v>
      </c>
      <c r="C14" s="4">
        <v>1970</v>
      </c>
    </row>
    <row r="15" spans="1:3">
      <c r="A15" s="7">
        <v>63</v>
      </c>
      <c r="B15" s="7" t="s">
        <v>153</v>
      </c>
      <c r="C15" s="7">
        <v>1979</v>
      </c>
    </row>
    <row r="16" spans="1:3">
      <c r="A16" s="4">
        <v>64</v>
      </c>
      <c r="B16" s="4" t="s">
        <v>154</v>
      </c>
      <c r="C16" s="4">
        <v>1974</v>
      </c>
    </row>
    <row r="17" spans="1:3">
      <c r="A17" s="7">
        <v>65</v>
      </c>
      <c r="B17" s="7" t="s">
        <v>155</v>
      </c>
      <c r="C17" s="7">
        <v>1985</v>
      </c>
    </row>
    <row r="18" spans="1:3">
      <c r="A18" s="4">
        <v>66</v>
      </c>
      <c r="B18" s="4" t="s">
        <v>156</v>
      </c>
      <c r="C18" s="4">
        <v>1986</v>
      </c>
    </row>
    <row r="19" spans="1:3">
      <c r="A19" s="7">
        <v>67</v>
      </c>
      <c r="B19" s="7" t="s">
        <v>157</v>
      </c>
      <c r="C19" s="7">
        <v>1958</v>
      </c>
    </row>
    <row r="20" spans="1:3">
      <c r="A20" s="4">
        <v>68</v>
      </c>
      <c r="B20" s="4" t="s">
        <v>158</v>
      </c>
      <c r="C20" s="4">
        <v>1937</v>
      </c>
    </row>
    <row r="21" spans="1:3">
      <c r="A21" s="7">
        <v>69</v>
      </c>
      <c r="B21" s="7" t="s">
        <v>159</v>
      </c>
      <c r="C21" s="7">
        <v>1974</v>
      </c>
    </row>
    <row r="22" spans="1:3">
      <c r="A22" s="4">
        <v>70</v>
      </c>
      <c r="B22" s="4" t="s">
        <v>160</v>
      </c>
      <c r="C22" s="4">
        <v>1959</v>
      </c>
    </row>
    <row r="23" spans="1:3">
      <c r="A23" s="7">
        <v>71</v>
      </c>
      <c r="B23" s="7" t="s">
        <v>161</v>
      </c>
      <c r="C23" s="7">
        <v>1969</v>
      </c>
    </row>
    <row r="24" spans="1:3">
      <c r="A24" s="4">
        <v>72</v>
      </c>
      <c r="B24" s="4" t="s">
        <v>162</v>
      </c>
      <c r="C24" s="4">
        <v>1982</v>
      </c>
    </row>
    <row r="25" spans="1:3">
      <c r="A25" s="7">
        <v>73</v>
      </c>
      <c r="B25" s="7" t="s">
        <v>163</v>
      </c>
      <c r="C25" s="7">
        <v>1984</v>
      </c>
    </row>
    <row r="26" spans="1:3">
      <c r="A26" s="4">
        <v>74</v>
      </c>
      <c r="B26" s="4" t="s">
        <v>164</v>
      </c>
      <c r="C26" s="4">
        <v>1986</v>
      </c>
    </row>
    <row r="27" spans="1:3">
      <c r="A27" s="7">
        <v>75</v>
      </c>
      <c r="B27" s="7" t="s">
        <v>165</v>
      </c>
      <c r="C27" s="7">
        <v>1968</v>
      </c>
    </row>
    <row r="28" spans="1:3">
      <c r="A28" s="4">
        <v>76</v>
      </c>
      <c r="B28" s="4" t="s">
        <v>166</v>
      </c>
      <c r="C28" s="4">
        <v>1972</v>
      </c>
    </row>
    <row r="29" spans="1:3">
      <c r="A29" s="7">
        <v>77</v>
      </c>
      <c r="B29" s="7" t="s">
        <v>167</v>
      </c>
      <c r="C29" s="7">
        <v>1964</v>
      </c>
    </row>
    <row r="30" spans="1:3">
      <c r="A30" s="4">
        <v>78</v>
      </c>
      <c r="B30" s="4" t="s">
        <v>168</v>
      </c>
      <c r="C30" s="4">
        <v>1974</v>
      </c>
    </row>
    <row r="31" spans="1:3">
      <c r="A31" s="7">
        <v>79</v>
      </c>
      <c r="B31" s="7" t="s">
        <v>169</v>
      </c>
      <c r="C31" s="7">
        <v>1975</v>
      </c>
    </row>
    <row r="32" spans="1:3">
      <c r="A32" s="4">
        <v>80</v>
      </c>
      <c r="B32" s="4" t="s">
        <v>170</v>
      </c>
      <c r="C32" s="4">
        <v>1908</v>
      </c>
    </row>
    <row r="33" spans="1:3">
      <c r="A33" s="7">
        <v>81</v>
      </c>
      <c r="B33" s="7" t="s">
        <v>171</v>
      </c>
      <c r="C33" s="7">
        <v>1921</v>
      </c>
    </row>
    <row r="34" spans="1:3">
      <c r="A34" s="4">
        <v>82</v>
      </c>
      <c r="B34" s="4" t="s">
        <v>172</v>
      </c>
      <c r="C34" s="4">
        <v>1976</v>
      </c>
    </row>
    <row r="35" spans="1:3">
      <c r="A35" s="7">
        <v>83</v>
      </c>
      <c r="B35" s="7" t="s">
        <v>173</v>
      </c>
      <c r="C35" s="7">
        <v>1978</v>
      </c>
    </row>
    <row r="36" spans="1:3">
      <c r="A36" s="4">
        <v>84</v>
      </c>
      <c r="B36" s="4" t="s">
        <v>174</v>
      </c>
      <c r="C36" s="4">
        <v>1924</v>
      </c>
    </row>
    <row r="37" spans="1:3">
      <c r="A37" s="7">
        <v>85</v>
      </c>
      <c r="B37" s="7" t="s">
        <v>175</v>
      </c>
      <c r="C37" s="7">
        <v>1940</v>
      </c>
    </row>
    <row r="38" spans="1:3">
      <c r="A38" s="4">
        <v>86</v>
      </c>
      <c r="B38" s="4" t="s">
        <v>176</v>
      </c>
      <c r="C38" s="4">
        <v>1974</v>
      </c>
    </row>
    <row r="39" spans="1:3">
      <c r="A39" s="7">
        <v>87</v>
      </c>
      <c r="B39" s="7" t="s">
        <v>177</v>
      </c>
      <c r="C39" s="7">
        <v>1979</v>
      </c>
    </row>
    <row r="40" spans="1:3">
      <c r="A40" s="4">
        <v>88</v>
      </c>
      <c r="B40" s="4" t="s">
        <v>178</v>
      </c>
      <c r="C40" s="4">
        <v>1952</v>
      </c>
    </row>
    <row r="41" spans="1:3">
      <c r="A41" s="7">
        <v>89</v>
      </c>
      <c r="B41" s="7" t="s">
        <v>179</v>
      </c>
      <c r="C41" s="7">
        <v>1943</v>
      </c>
    </row>
    <row r="42" spans="1:3">
      <c r="A42" s="4">
        <v>90</v>
      </c>
      <c r="B42" s="4" t="s">
        <v>180</v>
      </c>
      <c r="C42" s="4">
        <v>1947</v>
      </c>
    </row>
    <row r="43" spans="1:3">
      <c r="A43" s="7">
        <v>91</v>
      </c>
      <c r="B43" s="7" t="s">
        <v>181</v>
      </c>
      <c r="C43" s="7">
        <v>1967</v>
      </c>
    </row>
    <row r="44" spans="1:3">
      <c r="A44" s="4">
        <v>92</v>
      </c>
      <c r="B44" s="4" t="s">
        <v>182</v>
      </c>
      <c r="C44" s="4">
        <v>1967</v>
      </c>
    </row>
    <row r="45" spans="1:3">
      <c r="A45" s="7">
        <v>93</v>
      </c>
      <c r="B45" s="7" t="s">
        <v>183</v>
      </c>
      <c r="C45" s="7">
        <v>1975</v>
      </c>
    </row>
    <row r="46" spans="1:3">
      <c r="A46" s="4">
        <v>94</v>
      </c>
      <c r="B46" s="4" t="s">
        <v>184</v>
      </c>
      <c r="C46" s="4">
        <v>1965</v>
      </c>
    </row>
    <row r="47" spans="1:3">
      <c r="A47" s="7">
        <v>95</v>
      </c>
      <c r="B47" s="7" t="s">
        <v>185</v>
      </c>
      <c r="C47" s="7">
        <v>1981</v>
      </c>
    </row>
    <row r="48" spans="1:3">
      <c r="A48" s="4">
        <v>150</v>
      </c>
      <c r="B48" s="4" t="s">
        <v>186</v>
      </c>
      <c r="C48" s="4">
        <v>1905</v>
      </c>
    </row>
    <row r="49" spans="1:3">
      <c r="A49" s="7">
        <v>151</v>
      </c>
      <c r="B49" s="7" t="s">
        <v>187</v>
      </c>
      <c r="C49" s="7">
        <v>1919</v>
      </c>
    </row>
    <row r="50" spans="1:3">
      <c r="A50" s="4">
        <v>152</v>
      </c>
      <c r="B50" s="4" t="s">
        <v>188</v>
      </c>
      <c r="C50" s="4">
        <v>1997</v>
      </c>
    </row>
    <row r="51" spans="1:3">
      <c r="A51" s="7">
        <v>153</v>
      </c>
      <c r="B51" s="7" t="s">
        <v>189</v>
      </c>
      <c r="C51" s="7">
        <v>1929</v>
      </c>
    </row>
    <row r="52" spans="1:3">
      <c r="A52" s="4">
        <v>154</v>
      </c>
      <c r="B52" s="4" t="s">
        <v>190</v>
      </c>
      <c r="C52" s="4">
        <v>1988</v>
      </c>
    </row>
    <row r="53" spans="1:3">
      <c r="A53" s="7">
        <v>155</v>
      </c>
      <c r="B53" s="7" t="s">
        <v>191</v>
      </c>
      <c r="C53" s="7">
        <v>1982</v>
      </c>
    </row>
    <row r="54" spans="1:3">
      <c r="A54" s="4">
        <v>156</v>
      </c>
      <c r="B54" s="4" t="s">
        <v>192</v>
      </c>
      <c r="C54" s="4">
        <v>1982</v>
      </c>
    </row>
    <row r="55" spans="1:3">
      <c r="A55" s="7">
        <v>157</v>
      </c>
      <c r="B55" s="7" t="s">
        <v>193</v>
      </c>
      <c r="C55" s="7">
        <v>1982</v>
      </c>
    </row>
    <row r="56" spans="1:3">
      <c r="A56" s="4">
        <v>158</v>
      </c>
      <c r="B56" s="4" t="s">
        <v>194</v>
      </c>
      <c r="C56" s="4">
        <v>1983</v>
      </c>
    </row>
    <row r="57" spans="1:3">
      <c r="A57" s="7">
        <v>159</v>
      </c>
      <c r="B57" s="7" t="s">
        <v>195</v>
      </c>
      <c r="C57" s="7">
        <v>1985</v>
      </c>
    </row>
    <row r="58" spans="1:3">
      <c r="A58" s="4">
        <v>160</v>
      </c>
      <c r="B58" s="4" t="s">
        <v>196</v>
      </c>
      <c r="C58" s="4">
        <v>1979</v>
      </c>
    </row>
    <row r="59" spans="1:3">
      <c r="A59" s="7">
        <v>161</v>
      </c>
      <c r="B59" s="7" t="s">
        <v>197</v>
      </c>
      <c r="C59" s="7">
        <v>1984</v>
      </c>
    </row>
    <row r="60" spans="1:3">
      <c r="A60" s="4">
        <v>162</v>
      </c>
      <c r="B60" s="4" t="s">
        <v>198</v>
      </c>
      <c r="C60" s="4">
        <v>1950</v>
      </c>
    </row>
    <row r="61" spans="1:3">
      <c r="A61" s="7">
        <v>163</v>
      </c>
      <c r="B61" s="7" t="s">
        <v>199</v>
      </c>
      <c r="C61" s="7">
        <v>1955</v>
      </c>
    </row>
    <row r="62" spans="1:3">
      <c r="A62" s="4">
        <v>164</v>
      </c>
      <c r="B62" s="4" t="s">
        <v>200</v>
      </c>
      <c r="C62" s="4">
        <v>1965</v>
      </c>
    </row>
    <row r="63" spans="1:3">
      <c r="A63" s="7">
        <v>165</v>
      </c>
      <c r="B63" s="7" t="s">
        <v>201</v>
      </c>
      <c r="C63" s="7">
        <v>1967</v>
      </c>
    </row>
    <row r="64" spans="1:3">
      <c r="A64" s="4">
        <v>166</v>
      </c>
      <c r="B64" s="4" t="s">
        <v>202</v>
      </c>
      <c r="C64" s="4">
        <v>1946</v>
      </c>
    </row>
    <row r="65" spans="1:3">
      <c r="A65" s="7">
        <v>167</v>
      </c>
      <c r="B65" s="7" t="s">
        <v>203</v>
      </c>
      <c r="C65" s="7">
        <v>1982</v>
      </c>
    </row>
    <row r="66" spans="1:3">
      <c r="A66" s="4">
        <v>168</v>
      </c>
      <c r="B66" s="4" t="s">
        <v>204</v>
      </c>
      <c r="C66" s="4">
        <v>1956</v>
      </c>
    </row>
    <row r="67" spans="1:3">
      <c r="A67" s="7">
        <v>169</v>
      </c>
      <c r="B67" s="7" t="s">
        <v>205</v>
      </c>
      <c r="C67" s="7">
        <v>1985</v>
      </c>
    </row>
    <row r="68" spans="1:3">
      <c r="A68" s="4">
        <v>170</v>
      </c>
      <c r="B68" s="4" t="s">
        <v>206</v>
      </c>
      <c r="C68" s="4">
        <v>1991</v>
      </c>
    </row>
  </sheetData>
  <pageMargins left="0.25" right="0.25" top="0.5" bottom="0.5" header="0.3" footer="0.3"/>
  <pageSetup fitToHeight="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8"/>
    <pageSetUpPr fitToPage="1"/>
  </sheetPr>
  <dimension ref="A1:B86"/>
  <sheetViews>
    <sheetView showGridLines="0" zoomScale="90" zoomScaleNormal="160" workbookViewId="0">
      <pane ySplit="1" topLeftCell="A2" activePane="bottomLeft" state="frozen"/>
      <selection pane="bottomLeft" activeCell="B2" sqref="B2:B3"/>
    </sheetView>
  </sheetViews>
  <sheetFormatPr defaultRowHeight="14.45"/>
  <cols>
    <col min="1" max="2" width="11" customWidth="1"/>
  </cols>
  <sheetData>
    <row r="1" spans="1:2" ht="32.1" customHeight="1">
      <c r="A1" s="3" t="s">
        <v>24</v>
      </c>
      <c r="B1" s="3" t="s">
        <v>137</v>
      </c>
    </row>
    <row r="2" spans="1:2">
      <c r="A2" s="4">
        <v>101</v>
      </c>
      <c r="B2" s="4">
        <v>50</v>
      </c>
    </row>
    <row r="3" spans="1:2">
      <c r="A3" s="7">
        <v>101</v>
      </c>
      <c r="B3" s="7">
        <v>51</v>
      </c>
    </row>
    <row r="4" spans="1:2">
      <c r="A4" s="4">
        <v>102</v>
      </c>
      <c r="B4" s="4">
        <v>52</v>
      </c>
    </row>
    <row r="5" spans="1:2">
      <c r="A5" s="7">
        <v>102</v>
      </c>
      <c r="B5" s="7">
        <v>53</v>
      </c>
    </row>
    <row r="6" spans="1:2">
      <c r="A6" s="4">
        <v>103</v>
      </c>
      <c r="B6" s="4">
        <v>54</v>
      </c>
    </row>
    <row r="7" spans="1:2">
      <c r="A7" s="7">
        <v>103</v>
      </c>
      <c r="B7" s="7">
        <v>55</v>
      </c>
    </row>
    <row r="8" spans="1:2">
      <c r="A8" s="4">
        <v>103</v>
      </c>
      <c r="B8" s="4">
        <v>56</v>
      </c>
    </row>
    <row r="9" spans="1:2">
      <c r="A9" s="7">
        <v>104</v>
      </c>
      <c r="B9" s="7">
        <v>54</v>
      </c>
    </row>
    <row r="10" spans="1:2">
      <c r="A10" s="4">
        <v>104</v>
      </c>
      <c r="B10" s="4">
        <v>56</v>
      </c>
    </row>
    <row r="11" spans="1:2">
      <c r="A11" s="7">
        <v>105</v>
      </c>
      <c r="B11" s="7">
        <v>54</v>
      </c>
    </row>
    <row r="12" spans="1:2">
      <c r="A12" s="4">
        <v>105</v>
      </c>
      <c r="B12" s="4">
        <v>55</v>
      </c>
    </row>
    <row r="13" spans="1:2">
      <c r="A13" s="7">
        <v>106</v>
      </c>
      <c r="B13" s="7">
        <v>57</v>
      </c>
    </row>
    <row r="14" spans="1:2">
      <c r="A14" s="4">
        <v>106</v>
      </c>
      <c r="B14" s="4">
        <v>58</v>
      </c>
    </row>
    <row r="15" spans="1:2">
      <c r="A15" s="7">
        <v>107</v>
      </c>
      <c r="B15" s="7">
        <v>59</v>
      </c>
    </row>
    <row r="16" spans="1:2">
      <c r="A16" s="4">
        <v>107</v>
      </c>
      <c r="B16" s="4">
        <v>60</v>
      </c>
    </row>
    <row r="17" spans="1:2">
      <c r="A17" s="7">
        <v>108</v>
      </c>
      <c r="B17" s="7">
        <v>61</v>
      </c>
    </row>
    <row r="18" spans="1:2">
      <c r="A18" s="4">
        <v>108</v>
      </c>
      <c r="B18" s="4">
        <v>62</v>
      </c>
    </row>
    <row r="19" spans="1:2">
      <c r="A19" s="7">
        <v>108</v>
      </c>
      <c r="B19" s="7">
        <v>63</v>
      </c>
    </row>
    <row r="20" spans="1:2">
      <c r="A20" s="4">
        <v>109</v>
      </c>
      <c r="B20" s="4">
        <v>59</v>
      </c>
    </row>
    <row r="21" spans="1:2">
      <c r="A21" s="7">
        <v>109</v>
      </c>
      <c r="B21" s="7">
        <v>57</v>
      </c>
    </row>
    <row r="22" spans="1:2">
      <c r="A22" s="4">
        <v>109</v>
      </c>
      <c r="B22" s="4">
        <v>64</v>
      </c>
    </row>
    <row r="23" spans="1:2">
      <c r="A23" s="7">
        <v>110</v>
      </c>
      <c r="B23" s="7">
        <v>65</v>
      </c>
    </row>
    <row r="24" spans="1:2">
      <c r="A24" s="4">
        <v>110</v>
      </c>
      <c r="B24" s="4">
        <v>66</v>
      </c>
    </row>
    <row r="25" spans="1:2">
      <c r="A25" s="7">
        <v>111</v>
      </c>
      <c r="B25" s="7">
        <v>67</v>
      </c>
    </row>
    <row r="26" spans="1:2">
      <c r="A26" s="4">
        <v>111</v>
      </c>
      <c r="B26" s="4">
        <v>68</v>
      </c>
    </row>
    <row r="27" spans="1:2">
      <c r="A27" s="7">
        <v>112</v>
      </c>
      <c r="B27" s="7">
        <v>69</v>
      </c>
    </row>
    <row r="28" spans="1:2">
      <c r="A28" s="4">
        <v>112</v>
      </c>
      <c r="B28" s="4">
        <v>70</v>
      </c>
    </row>
    <row r="29" spans="1:2">
      <c r="A29" s="7">
        <v>113</v>
      </c>
      <c r="B29" s="7">
        <v>71</v>
      </c>
    </row>
    <row r="30" spans="1:2">
      <c r="A30" s="4">
        <v>113</v>
      </c>
      <c r="B30" s="4">
        <v>72</v>
      </c>
    </row>
    <row r="31" spans="1:2">
      <c r="A31" s="7">
        <v>114</v>
      </c>
      <c r="B31" s="7">
        <v>73</v>
      </c>
    </row>
    <row r="32" spans="1:2">
      <c r="A32" s="4">
        <v>114</v>
      </c>
      <c r="B32" s="4">
        <v>74</v>
      </c>
    </row>
    <row r="33" spans="1:2">
      <c r="A33" s="7">
        <v>115</v>
      </c>
      <c r="B33" s="7">
        <v>75</v>
      </c>
    </row>
    <row r="34" spans="1:2">
      <c r="A34" s="4">
        <v>115</v>
      </c>
      <c r="B34" s="4">
        <v>76</v>
      </c>
    </row>
    <row r="35" spans="1:2">
      <c r="A35" s="7">
        <v>116</v>
      </c>
      <c r="B35" s="7">
        <v>77</v>
      </c>
    </row>
    <row r="36" spans="1:2">
      <c r="A36" s="4">
        <v>116</v>
      </c>
      <c r="B36" s="4">
        <v>78</v>
      </c>
    </row>
    <row r="37" spans="1:2">
      <c r="A37" s="7">
        <v>117</v>
      </c>
      <c r="B37" s="7">
        <v>69</v>
      </c>
    </row>
    <row r="38" spans="1:2">
      <c r="A38" s="4">
        <v>117</v>
      </c>
      <c r="B38" s="4">
        <v>79</v>
      </c>
    </row>
    <row r="39" spans="1:2">
      <c r="A39" s="7">
        <v>118</v>
      </c>
      <c r="B39" s="7">
        <v>80</v>
      </c>
    </row>
    <row r="40" spans="1:2">
      <c r="A40" s="4">
        <v>118</v>
      </c>
      <c r="B40" s="4">
        <v>81</v>
      </c>
    </row>
    <row r="41" spans="1:2">
      <c r="A41" s="7">
        <v>119</v>
      </c>
      <c r="B41" s="7">
        <v>82</v>
      </c>
    </row>
    <row r="42" spans="1:2">
      <c r="A42" s="4">
        <v>119</v>
      </c>
      <c r="B42" s="4">
        <v>83</v>
      </c>
    </row>
    <row r="43" spans="1:2">
      <c r="A43" s="7">
        <v>120</v>
      </c>
      <c r="B43" s="7">
        <v>84</v>
      </c>
    </row>
    <row r="44" spans="1:2">
      <c r="A44" s="4">
        <v>120</v>
      </c>
      <c r="B44" s="4">
        <v>85</v>
      </c>
    </row>
    <row r="45" spans="1:2">
      <c r="A45" s="7">
        <v>121</v>
      </c>
      <c r="B45" s="7">
        <v>86</v>
      </c>
    </row>
    <row r="46" spans="1:2">
      <c r="A46" s="4">
        <v>121</v>
      </c>
      <c r="B46" s="4">
        <v>87</v>
      </c>
    </row>
    <row r="47" spans="1:2">
      <c r="A47" s="7">
        <v>122</v>
      </c>
      <c r="B47" s="7">
        <v>88</v>
      </c>
    </row>
    <row r="48" spans="1:2">
      <c r="A48" s="4">
        <v>122</v>
      </c>
      <c r="B48" s="4">
        <v>89</v>
      </c>
    </row>
    <row r="49" spans="1:2">
      <c r="A49" s="7">
        <v>123</v>
      </c>
      <c r="B49" s="7">
        <v>90</v>
      </c>
    </row>
    <row r="50" spans="1:2">
      <c r="A50" s="4">
        <v>123</v>
      </c>
      <c r="B50" s="4">
        <v>91</v>
      </c>
    </row>
    <row r="51" spans="1:2">
      <c r="A51" s="7">
        <v>124</v>
      </c>
      <c r="B51" s="7">
        <v>92</v>
      </c>
    </row>
    <row r="52" spans="1:2">
      <c r="A52" s="4">
        <v>124</v>
      </c>
      <c r="B52" s="4">
        <v>93</v>
      </c>
    </row>
    <row r="53" spans="1:2">
      <c r="A53" s="7">
        <v>125</v>
      </c>
      <c r="B53" s="7">
        <v>94</v>
      </c>
    </row>
    <row r="54" spans="1:2">
      <c r="A54" s="4">
        <v>125</v>
      </c>
      <c r="B54" s="4">
        <v>95</v>
      </c>
    </row>
    <row r="55" spans="1:2">
      <c r="A55" s="7">
        <v>125</v>
      </c>
      <c r="B55" s="7">
        <v>54</v>
      </c>
    </row>
    <row r="56" spans="1:2">
      <c r="A56" s="4">
        <v>126</v>
      </c>
      <c r="B56" s="4">
        <v>94</v>
      </c>
    </row>
    <row r="57" spans="1:2">
      <c r="A57" s="7">
        <v>126</v>
      </c>
      <c r="B57" s="7">
        <v>95</v>
      </c>
    </row>
    <row r="58" spans="1:2">
      <c r="A58" s="4">
        <v>126</v>
      </c>
      <c r="B58" s="4">
        <v>54</v>
      </c>
    </row>
    <row r="59" spans="1:2">
      <c r="A59" s="7">
        <v>127</v>
      </c>
      <c r="B59" s="7">
        <v>150</v>
      </c>
    </row>
    <row r="60" spans="1:2">
      <c r="A60" s="4">
        <v>127</v>
      </c>
      <c r="B60" s="4">
        <v>151</v>
      </c>
    </row>
    <row r="61" spans="1:2">
      <c r="A61" s="7">
        <v>128</v>
      </c>
      <c r="B61" s="7">
        <v>61</v>
      </c>
    </row>
    <row r="62" spans="1:2">
      <c r="A62" s="4">
        <v>128</v>
      </c>
      <c r="B62" s="4">
        <v>152</v>
      </c>
    </row>
    <row r="63" spans="1:2">
      <c r="A63" s="7">
        <v>129</v>
      </c>
      <c r="B63" s="7">
        <v>51</v>
      </c>
    </row>
    <row r="64" spans="1:2">
      <c r="A64" s="4">
        <v>129</v>
      </c>
      <c r="B64" s="4">
        <v>153</v>
      </c>
    </row>
    <row r="65" spans="1:2">
      <c r="A65" s="7">
        <v>130</v>
      </c>
      <c r="B65" s="7">
        <v>61</v>
      </c>
    </row>
    <row r="66" spans="1:2">
      <c r="A66" s="4">
        <v>130</v>
      </c>
      <c r="B66" s="4">
        <v>154</v>
      </c>
    </row>
    <row r="67" spans="1:2">
      <c r="A67" s="7">
        <v>131</v>
      </c>
      <c r="B67" s="7">
        <v>155</v>
      </c>
    </row>
    <row r="68" spans="1:2">
      <c r="A68" s="4">
        <v>131</v>
      </c>
      <c r="B68" s="4">
        <v>154</v>
      </c>
    </row>
    <row r="69" spans="1:2">
      <c r="A69" s="7">
        <v>132</v>
      </c>
      <c r="B69" s="7">
        <v>156</v>
      </c>
    </row>
    <row r="70" spans="1:2">
      <c r="A70" s="4">
        <v>132</v>
      </c>
      <c r="B70" s="4">
        <v>157</v>
      </c>
    </row>
    <row r="71" spans="1:2">
      <c r="A71" s="7">
        <v>133</v>
      </c>
      <c r="B71" s="7">
        <v>158</v>
      </c>
    </row>
    <row r="72" spans="1:2">
      <c r="A72" s="4">
        <v>133</v>
      </c>
      <c r="B72" s="4">
        <v>159</v>
      </c>
    </row>
    <row r="73" spans="1:2">
      <c r="A73" s="7">
        <v>134</v>
      </c>
      <c r="B73" s="7">
        <v>160</v>
      </c>
    </row>
    <row r="74" spans="1:2">
      <c r="A74" s="4">
        <v>134</v>
      </c>
      <c r="B74" s="4">
        <v>161</v>
      </c>
    </row>
    <row r="75" spans="1:2">
      <c r="A75" s="7">
        <v>135</v>
      </c>
      <c r="B75" s="7">
        <v>162</v>
      </c>
    </row>
    <row r="76" spans="1:2">
      <c r="A76" s="4">
        <v>135</v>
      </c>
      <c r="B76" s="4">
        <v>163</v>
      </c>
    </row>
    <row r="77" spans="1:2">
      <c r="A77" s="7">
        <v>136</v>
      </c>
      <c r="B77" s="7">
        <v>164</v>
      </c>
    </row>
    <row r="78" spans="1:2">
      <c r="A78" s="4">
        <v>136</v>
      </c>
      <c r="B78" s="4">
        <v>165</v>
      </c>
    </row>
    <row r="79" spans="1:2">
      <c r="A79" s="7">
        <v>137</v>
      </c>
      <c r="B79" s="7">
        <v>95</v>
      </c>
    </row>
    <row r="80" spans="1:2">
      <c r="A80" s="4">
        <v>137</v>
      </c>
      <c r="B80" s="4">
        <v>166</v>
      </c>
    </row>
    <row r="81" spans="1:2">
      <c r="A81" s="7">
        <v>138</v>
      </c>
      <c r="B81" s="7">
        <v>95</v>
      </c>
    </row>
    <row r="82" spans="1:2">
      <c r="A82" s="4">
        <v>138</v>
      </c>
      <c r="B82" s="4">
        <v>167</v>
      </c>
    </row>
    <row r="83" spans="1:2">
      <c r="A83" s="7">
        <v>139</v>
      </c>
      <c r="B83" s="7">
        <v>164</v>
      </c>
    </row>
    <row r="84" spans="1:2">
      <c r="A84" s="4">
        <v>139</v>
      </c>
      <c r="B84" s="4">
        <v>168</v>
      </c>
    </row>
    <row r="85" spans="1:2">
      <c r="A85" s="7">
        <v>140</v>
      </c>
      <c r="B85" s="7">
        <v>169</v>
      </c>
    </row>
    <row r="86" spans="1:2">
      <c r="A86" s="4">
        <v>140</v>
      </c>
      <c r="B86" s="4">
        <v>170</v>
      </c>
    </row>
  </sheetData>
  <pageMargins left="0.25" right="0.25" top="0.5" bottom="0.5" header="0.3" footer="0.3"/>
  <pageSetup fitToHeight="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8"/>
    <pageSetUpPr fitToPage="1"/>
  </sheetPr>
  <dimension ref="A1:B9"/>
  <sheetViews>
    <sheetView showGridLines="0" zoomScale="90" zoomScaleNormal="160" workbookViewId="0">
      <pane ySplit="1" topLeftCell="A2" activePane="bottomLeft" state="frozen"/>
      <selection pane="bottomLeft" activeCell="B4" sqref="B4"/>
    </sheetView>
  </sheetViews>
  <sheetFormatPr defaultRowHeight="14.45"/>
  <cols>
    <col min="1" max="1" width="13" customWidth="1"/>
    <col min="2" max="2" width="11" customWidth="1"/>
  </cols>
  <sheetData>
    <row r="1" spans="1:2" ht="32.1" customHeight="1">
      <c r="A1" s="3" t="s">
        <v>30</v>
      </c>
      <c r="B1" s="3" t="s">
        <v>138</v>
      </c>
    </row>
    <row r="2" spans="1:2">
      <c r="A2" s="4">
        <v>1</v>
      </c>
      <c r="B2" s="4" t="s">
        <v>207</v>
      </c>
    </row>
    <row r="3" spans="1:2">
      <c r="A3" s="7">
        <v>2</v>
      </c>
      <c r="B3" s="7" t="s">
        <v>208</v>
      </c>
    </row>
    <row r="4" spans="1:2">
      <c r="A4" s="4">
        <v>3</v>
      </c>
      <c r="B4" s="4" t="s">
        <v>209</v>
      </c>
    </row>
    <row r="5" spans="1:2">
      <c r="A5" s="7">
        <v>4</v>
      </c>
      <c r="B5" s="7" t="s">
        <v>210</v>
      </c>
    </row>
    <row r="6" spans="1:2">
      <c r="A6" s="4">
        <v>5</v>
      </c>
      <c r="B6" s="4" t="s">
        <v>211</v>
      </c>
    </row>
    <row r="7" spans="1:2">
      <c r="A7" s="7">
        <v>6</v>
      </c>
      <c r="B7" s="7" t="s">
        <v>212</v>
      </c>
    </row>
    <row r="8" spans="1:2">
      <c r="A8" s="4">
        <v>7</v>
      </c>
      <c r="B8" s="4" t="s">
        <v>213</v>
      </c>
    </row>
    <row r="9" spans="1:2">
      <c r="A9" s="7">
        <v>8</v>
      </c>
      <c r="B9" s="7" t="s">
        <v>214</v>
      </c>
    </row>
  </sheetData>
  <pageMargins left="0.25" right="0.25" top="0.5" bottom="0.5" header="0.3" footer="0.3"/>
  <pageSetup fitToHeight="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AD47"/>
    <pageSetUpPr fitToPage="1"/>
  </sheetPr>
  <dimension ref="A1:E25"/>
  <sheetViews>
    <sheetView showGridLines="0" zoomScale="85" workbookViewId="0">
      <pane ySplit="5" topLeftCell="A6" activePane="bottomLeft" state="frozen"/>
      <selection pane="bottomLeft"/>
    </sheetView>
  </sheetViews>
  <sheetFormatPr defaultRowHeight="15"/>
  <cols>
    <col min="1" max="1" width="30" customWidth="1"/>
    <col min="2" max="2" width="68" customWidth="1"/>
    <col min="3" max="3" width="48" customWidth="1"/>
    <col min="4" max="4" width="40" customWidth="1"/>
    <col min="5" max="5" width="28" customWidth="1"/>
  </cols>
  <sheetData>
    <row r="1" spans="1:5" ht="30" customHeight="1">
      <c r="A1" s="38" t="s">
        <v>215</v>
      </c>
      <c r="B1" s="52"/>
      <c r="C1" s="52"/>
      <c r="D1" s="52"/>
      <c r="E1" s="52"/>
    </row>
    <row r="2" spans="1:5" ht="20.100000000000001" customHeight="1">
      <c r="A2" s="52"/>
      <c r="B2" s="52"/>
      <c r="C2" s="52"/>
      <c r="D2" s="52"/>
      <c r="E2" s="52"/>
    </row>
    <row r="3" spans="1:5">
      <c r="A3" s="39" t="s">
        <v>216</v>
      </c>
      <c r="B3" s="52"/>
      <c r="C3" s="52"/>
      <c r="D3" s="52"/>
      <c r="E3" s="52"/>
    </row>
    <row r="5" spans="1:5" ht="32.1" customHeight="1">
      <c r="A5" s="21" t="s">
        <v>217</v>
      </c>
      <c r="B5" s="21" t="s">
        <v>218</v>
      </c>
      <c r="C5" s="21" t="s">
        <v>219</v>
      </c>
      <c r="D5" s="21" t="s">
        <v>220</v>
      </c>
      <c r="E5" s="21" t="s">
        <v>221</v>
      </c>
    </row>
    <row r="6" spans="1:5" ht="48" customHeight="1">
      <c r="A6" s="22" t="s">
        <v>222</v>
      </c>
      <c r="B6" s="23" t="s">
        <v>223</v>
      </c>
      <c r="C6" s="22" t="s">
        <v>224</v>
      </c>
      <c r="D6" s="22" t="s">
        <v>225</v>
      </c>
      <c r="E6" s="22" t="s">
        <v>226</v>
      </c>
    </row>
    <row r="7" spans="1:5" ht="48" customHeight="1">
      <c r="A7" s="24" t="s">
        <v>227</v>
      </c>
      <c r="B7" s="25" t="s">
        <v>228</v>
      </c>
      <c r="C7" s="24" t="s">
        <v>229</v>
      </c>
      <c r="D7" s="24" t="s">
        <v>230</v>
      </c>
      <c r="E7" s="24" t="s">
        <v>231</v>
      </c>
    </row>
    <row r="8" spans="1:5" ht="48" customHeight="1">
      <c r="A8" s="22" t="s">
        <v>232</v>
      </c>
      <c r="B8" s="23" t="s">
        <v>233</v>
      </c>
      <c r="C8" s="22" t="s">
        <v>234</v>
      </c>
      <c r="D8" s="22" t="s">
        <v>235</v>
      </c>
      <c r="E8" s="22" t="s">
        <v>236</v>
      </c>
    </row>
    <row r="9" spans="1:5" ht="48" customHeight="1">
      <c r="A9" s="24" t="s">
        <v>237</v>
      </c>
      <c r="B9" s="25" t="s">
        <v>238</v>
      </c>
      <c r="C9" s="24" t="s">
        <v>239</v>
      </c>
      <c r="D9" s="24" t="s">
        <v>240</v>
      </c>
      <c r="E9" s="24" t="s">
        <v>241</v>
      </c>
    </row>
    <row r="10" spans="1:5" ht="48" customHeight="1">
      <c r="A10" s="22" t="s">
        <v>242</v>
      </c>
      <c r="B10" s="23" t="s">
        <v>243</v>
      </c>
      <c r="C10" s="22" t="s">
        <v>244</v>
      </c>
      <c r="D10" s="22" t="s">
        <v>240</v>
      </c>
      <c r="E10" s="22" t="s">
        <v>245</v>
      </c>
    </row>
    <row r="11" spans="1:5" ht="48" customHeight="1">
      <c r="A11" s="24" t="s">
        <v>246</v>
      </c>
      <c r="B11" s="25" t="s">
        <v>247</v>
      </c>
      <c r="C11" s="24" t="s">
        <v>248</v>
      </c>
      <c r="D11" s="24" t="s">
        <v>249</v>
      </c>
      <c r="E11" s="24" t="s">
        <v>250</v>
      </c>
    </row>
    <row r="12" spans="1:5" ht="48" customHeight="1">
      <c r="A12" s="22" t="s">
        <v>251</v>
      </c>
      <c r="B12" s="23" t="s">
        <v>252</v>
      </c>
      <c r="C12" s="22" t="s">
        <v>253</v>
      </c>
      <c r="D12" s="22" t="s">
        <v>254</v>
      </c>
      <c r="E12" s="22" t="s">
        <v>255</v>
      </c>
    </row>
    <row r="13" spans="1:5" ht="48" customHeight="1">
      <c r="A13" s="24" t="s">
        <v>256</v>
      </c>
      <c r="B13" s="25" t="s">
        <v>257</v>
      </c>
      <c r="C13" s="24" t="s">
        <v>258</v>
      </c>
      <c r="D13" s="24" t="s">
        <v>259</v>
      </c>
      <c r="E13" s="24" t="s">
        <v>260</v>
      </c>
    </row>
    <row r="14" spans="1:5" ht="48" customHeight="1">
      <c r="A14" s="22" t="s">
        <v>261</v>
      </c>
      <c r="B14" s="23" t="s">
        <v>262</v>
      </c>
      <c r="C14" s="22" t="s">
        <v>263</v>
      </c>
      <c r="D14" s="22" t="s">
        <v>259</v>
      </c>
      <c r="E14" s="22" t="s">
        <v>264</v>
      </c>
    </row>
    <row r="15" spans="1:5" ht="48" customHeight="1">
      <c r="A15" s="24" t="s">
        <v>265</v>
      </c>
      <c r="B15" s="25" t="s">
        <v>266</v>
      </c>
      <c r="C15" s="24" t="s">
        <v>267</v>
      </c>
      <c r="D15" s="24" t="s">
        <v>268</v>
      </c>
      <c r="E15" s="24" t="s">
        <v>269</v>
      </c>
    </row>
    <row r="16" spans="1:5" ht="48" customHeight="1">
      <c r="A16" s="22" t="s">
        <v>270</v>
      </c>
      <c r="B16" s="23" t="s">
        <v>271</v>
      </c>
      <c r="C16" s="22" t="s">
        <v>272</v>
      </c>
      <c r="D16" s="22" t="s">
        <v>273</v>
      </c>
      <c r="E16" s="22" t="s">
        <v>274</v>
      </c>
    </row>
    <row r="17" spans="1:5" ht="48" customHeight="1">
      <c r="A17" s="24" t="s">
        <v>275</v>
      </c>
      <c r="B17" s="25" t="s">
        <v>276</v>
      </c>
      <c r="C17" s="24" t="s">
        <v>277</v>
      </c>
      <c r="D17" s="24" t="s">
        <v>278</v>
      </c>
      <c r="E17" s="24" t="s">
        <v>279</v>
      </c>
    </row>
    <row r="18" spans="1:5" ht="48" customHeight="1">
      <c r="A18" s="22" t="s">
        <v>280</v>
      </c>
      <c r="B18" s="23" t="s">
        <v>281</v>
      </c>
      <c r="C18" s="22" t="s">
        <v>282</v>
      </c>
      <c r="D18" s="22" t="s">
        <v>283</v>
      </c>
      <c r="E18" s="22" t="s">
        <v>284</v>
      </c>
    </row>
    <row r="19" spans="1:5" ht="48" customHeight="1">
      <c r="A19" s="24" t="s">
        <v>285</v>
      </c>
      <c r="B19" s="25" t="s">
        <v>286</v>
      </c>
      <c r="C19" s="24" t="s">
        <v>287</v>
      </c>
      <c r="D19" s="24" t="s">
        <v>288</v>
      </c>
      <c r="E19" s="24" t="s">
        <v>289</v>
      </c>
    </row>
    <row r="20" spans="1:5" ht="48" customHeight="1">
      <c r="A20" s="22" t="s">
        <v>290</v>
      </c>
      <c r="B20" s="23" t="s">
        <v>291</v>
      </c>
      <c r="C20" s="22" t="s">
        <v>292</v>
      </c>
      <c r="D20" s="22" t="s">
        <v>293</v>
      </c>
      <c r="E20" s="22" t="s">
        <v>294</v>
      </c>
    </row>
    <row r="21" spans="1:5" ht="48" customHeight="1">
      <c r="A21" s="24" t="s">
        <v>295</v>
      </c>
      <c r="B21" s="25" t="s">
        <v>296</v>
      </c>
      <c r="C21" s="24" t="s">
        <v>297</v>
      </c>
      <c r="D21" s="24" t="s">
        <v>298</v>
      </c>
      <c r="E21" s="24" t="s">
        <v>299</v>
      </c>
    </row>
    <row r="22" spans="1:5" ht="48" customHeight="1">
      <c r="A22" s="22" t="s">
        <v>300</v>
      </c>
      <c r="B22" s="23" t="s">
        <v>301</v>
      </c>
      <c r="C22" s="22" t="s">
        <v>302</v>
      </c>
      <c r="D22" s="22" t="s">
        <v>303</v>
      </c>
      <c r="E22" s="22" t="s">
        <v>304</v>
      </c>
    </row>
    <row r="23" spans="1:5" ht="48" customHeight="1">
      <c r="A23" s="24" t="s">
        <v>305</v>
      </c>
      <c r="B23" s="25" t="s">
        <v>306</v>
      </c>
      <c r="C23" s="24" t="s">
        <v>307</v>
      </c>
      <c r="D23" s="24" t="s">
        <v>308</v>
      </c>
      <c r="E23" s="24" t="s">
        <v>309</v>
      </c>
    </row>
    <row r="24" spans="1:5" ht="48" customHeight="1">
      <c r="A24" s="22" t="s">
        <v>310</v>
      </c>
      <c r="B24" s="23" t="s">
        <v>311</v>
      </c>
      <c r="C24" s="22" t="s">
        <v>312</v>
      </c>
      <c r="D24" s="22" t="s">
        <v>313</v>
      </c>
      <c r="E24" s="22" t="s">
        <v>314</v>
      </c>
    </row>
    <row r="25" spans="1:5" ht="48" customHeight="1">
      <c r="A25" s="24" t="s">
        <v>315</v>
      </c>
      <c r="B25" s="25" t="s">
        <v>316</v>
      </c>
      <c r="C25" s="24" t="s">
        <v>317</v>
      </c>
      <c r="D25" s="24" t="s">
        <v>318</v>
      </c>
      <c r="E25" s="24" t="s">
        <v>319</v>
      </c>
    </row>
  </sheetData>
  <autoFilter ref="A5:E25" xr:uid="{00000000-0009-0000-0000-000008000000}"/>
  <mergeCells count="2">
    <mergeCell ref="A1:E2"/>
    <mergeCell ref="A3:E3"/>
  </mergeCell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Dhaval Patel</dc:creator>
  <cp:keywords/>
  <dc:description/>
  <cp:lastModifiedBy/>
  <cp:revision/>
  <dcterms:created xsi:type="dcterms:W3CDTF">2015-06-05T18:17:20Z</dcterms:created>
  <dcterms:modified xsi:type="dcterms:W3CDTF">2026-10-27T19:42:16Z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0x010100686C0266E115364AA9B96DE5BECF7DB6</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